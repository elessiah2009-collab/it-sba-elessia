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.T Elessia Harrison\Masqueraders\"/>
    </mc:Choice>
  </mc:AlternateContent>
  <xr:revisionPtr revIDLastSave="0" documentId="13_ncr:1_{5FFF5CE4-52B8-44D8-9E2C-84AAD3A795D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BacchaX" sheetId="5" r:id="rId1"/>
    <sheet name="Xod-Us" sheetId="1" r:id="rId2"/>
    <sheet name="JamCarn X" sheetId="6" r:id="rId3"/>
    <sheet name="Fant-X" sheetId="11" r:id="rId4"/>
    <sheet name="DreamX" sheetId="13" r:id="rId5"/>
    <sheet name="Pivot Table" sheetId="15" r:id="rId6"/>
    <sheet name="Income vs Expenditure" sheetId="14" r:id="rId7"/>
  </sheets>
  <definedNames>
    <definedName name="_xlnm._FilterDatabase" localSheetId="4" hidden="1">DreamX!$A$37:$C$42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C21" i="5" l="1"/>
  <c r="O17" i="6" l="1"/>
  <c r="P17" i="6" s="1"/>
  <c r="Q17" i="6" s="1"/>
  <c r="O16" i="6"/>
  <c r="O13" i="6"/>
  <c r="P13" i="6" s="1"/>
  <c r="P4" i="1"/>
  <c r="Q4" i="1" s="1"/>
  <c r="O7" i="1"/>
  <c r="P7" i="1" s="1"/>
  <c r="O14" i="1"/>
  <c r="O14" i="5"/>
  <c r="P14" i="5" s="1"/>
  <c r="Q14" i="5" s="1"/>
  <c r="E28" i="1"/>
  <c r="E27" i="6" s="1"/>
  <c r="E25" i="11" s="1"/>
  <c r="E25" i="13" s="1"/>
  <c r="O8" i="13" l="1"/>
  <c r="P8" i="13" s="1"/>
  <c r="Q8" i="13" s="1"/>
  <c r="O9" i="13"/>
  <c r="O5" i="13"/>
  <c r="P5" i="13" s="1"/>
  <c r="Q5" i="13" s="1"/>
  <c r="O12" i="13"/>
  <c r="P12" i="13" s="1"/>
  <c r="Q12" i="13" s="1"/>
  <c r="O7" i="13"/>
  <c r="P7" i="13" s="1"/>
  <c r="Q7" i="13" s="1"/>
  <c r="O4" i="13"/>
  <c r="P4" i="13" s="1"/>
  <c r="Q4" i="13" s="1"/>
  <c r="O15" i="13"/>
  <c r="P15" i="13" s="1"/>
  <c r="Q15" i="13" s="1"/>
  <c r="O16" i="13"/>
  <c r="P16" i="13" s="1"/>
  <c r="Q16" i="13" s="1"/>
  <c r="O6" i="13"/>
  <c r="P6" i="13" s="1"/>
  <c r="Q6" i="13" s="1"/>
  <c r="O14" i="13"/>
  <c r="P14" i="13" s="1"/>
  <c r="Q14" i="13" s="1"/>
  <c r="O11" i="13"/>
  <c r="P11" i="13" s="1"/>
  <c r="Q11" i="13" s="1"/>
  <c r="O13" i="13"/>
  <c r="P13" i="13" s="1"/>
  <c r="Q13" i="13" s="1"/>
  <c r="O10" i="13"/>
  <c r="P10" i="13" s="1"/>
  <c r="Q10" i="13" s="1"/>
  <c r="O3" i="13"/>
  <c r="O3" i="6"/>
  <c r="P3" i="6" s="1"/>
  <c r="E28" i="5"/>
  <c r="O3" i="11"/>
  <c r="P3" i="11" s="1"/>
  <c r="Q3" i="11" s="1"/>
  <c r="O6" i="11"/>
  <c r="P6" i="11" s="1"/>
  <c r="Q6" i="11" s="1"/>
  <c r="O11" i="11"/>
  <c r="P11" i="11" s="1"/>
  <c r="Q11" i="11" s="1"/>
  <c r="O15" i="11"/>
  <c r="P15" i="11" s="1"/>
  <c r="Q15" i="11" s="1"/>
  <c r="O16" i="11"/>
  <c r="P16" i="11" s="1"/>
  <c r="Q16" i="11" s="1"/>
  <c r="O4" i="11"/>
  <c r="P4" i="11" s="1"/>
  <c r="Q4" i="11" s="1"/>
  <c r="O8" i="11"/>
  <c r="P8" i="11" s="1"/>
  <c r="Q8" i="11" s="1"/>
  <c r="O9" i="11"/>
  <c r="P9" i="11" s="1"/>
  <c r="Q9" i="11" s="1"/>
  <c r="O12" i="11"/>
  <c r="P12" i="11" s="1"/>
  <c r="Q12" i="11" s="1"/>
  <c r="O5" i="11"/>
  <c r="P5" i="11" s="1"/>
  <c r="Q5" i="11" s="1"/>
  <c r="O14" i="11"/>
  <c r="P14" i="11" s="1"/>
  <c r="Q14" i="11" s="1"/>
  <c r="O10" i="11"/>
  <c r="P10" i="11" s="1"/>
  <c r="Q10" i="11" s="1"/>
  <c r="O13" i="11"/>
  <c r="P13" i="11" s="1"/>
  <c r="Q13" i="11" s="1"/>
  <c r="O7" i="11"/>
  <c r="P7" i="11" s="1"/>
  <c r="Q7" i="11" s="1"/>
  <c r="P9" i="13" l="1"/>
  <c r="Q9" i="13" s="1"/>
  <c r="P3" i="13"/>
  <c r="Q3" i="13" s="1"/>
  <c r="E33" i="13"/>
  <c r="F33" i="13" s="1"/>
  <c r="E32" i="13"/>
  <c r="F32" i="13" s="1"/>
  <c r="E31" i="13"/>
  <c r="F31" i="13" s="1"/>
  <c r="E30" i="13"/>
  <c r="F30" i="13" s="1"/>
  <c r="E29" i="13"/>
  <c r="F29" i="13" s="1"/>
  <c r="F25" i="13"/>
  <c r="C21" i="13"/>
  <c r="C20" i="13"/>
  <c r="C19" i="13"/>
  <c r="Q18" i="13"/>
  <c r="P18" i="13"/>
  <c r="C18" i="13"/>
  <c r="E33" i="11"/>
  <c r="F33" i="11" s="1"/>
  <c r="E32" i="11"/>
  <c r="F32" i="11" s="1"/>
  <c r="E31" i="11"/>
  <c r="F31" i="11" s="1"/>
  <c r="E30" i="11"/>
  <c r="F30" i="11" s="1"/>
  <c r="E29" i="11"/>
  <c r="F29" i="11" s="1"/>
  <c r="F25" i="11"/>
  <c r="C20" i="11"/>
  <c r="C18" i="11"/>
  <c r="C19" i="11"/>
  <c r="Q13" i="6"/>
  <c r="Q3" i="6"/>
  <c r="O4" i="6"/>
  <c r="O5" i="6"/>
  <c r="O6" i="6"/>
  <c r="O7" i="6"/>
  <c r="P7" i="6" s="1"/>
  <c r="O8" i="6"/>
  <c r="P8" i="6" s="1"/>
  <c r="Q8" i="6" s="1"/>
  <c r="O9" i="6"/>
  <c r="P9" i="6" s="1"/>
  <c r="Q9" i="6" s="1"/>
  <c r="O10" i="6"/>
  <c r="P10" i="6" s="1"/>
  <c r="Q10" i="6" s="1"/>
  <c r="O11" i="6"/>
  <c r="P11" i="6" s="1"/>
  <c r="Q11" i="6" s="1"/>
  <c r="O12" i="6"/>
  <c r="P12" i="6" s="1"/>
  <c r="Q12" i="6" s="1"/>
  <c r="O14" i="6"/>
  <c r="P14" i="6" s="1"/>
  <c r="Q14" i="6" s="1"/>
  <c r="O15" i="6"/>
  <c r="P15" i="6" s="1"/>
  <c r="Q15" i="6" s="1"/>
  <c r="P16" i="6"/>
  <c r="Q16" i="6" s="1"/>
  <c r="O18" i="6"/>
  <c r="P18" i="6" s="1"/>
  <c r="Q18" i="6" s="1"/>
  <c r="O5" i="1"/>
  <c r="P5" i="1" s="1"/>
  <c r="C22" i="6"/>
  <c r="C23" i="1"/>
  <c r="C20" i="6"/>
  <c r="O3" i="5"/>
  <c r="P3" i="5" s="1"/>
  <c r="C23" i="5"/>
  <c r="O15" i="5"/>
  <c r="P15" i="5" s="1"/>
  <c r="C21" i="1"/>
  <c r="P5" i="6" l="1"/>
  <c r="Q5" i="6" s="1"/>
  <c r="P4" i="6"/>
  <c r="Q4" i="6" s="1"/>
  <c r="B42" i="11"/>
  <c r="B44" i="6"/>
  <c r="B45" i="1"/>
  <c r="B45" i="5"/>
  <c r="B38" i="13"/>
  <c r="F31" i="1"/>
  <c r="F28" i="1"/>
  <c r="F30" i="1"/>
  <c r="F28" i="5"/>
  <c r="C21" i="6"/>
  <c r="Q5" i="1"/>
  <c r="P6" i="6"/>
  <c r="Q6" i="6" s="1"/>
  <c r="Q7" i="6"/>
  <c r="Q18" i="11"/>
  <c r="P18" i="11"/>
  <c r="C21" i="11"/>
  <c r="Q3" i="5"/>
  <c r="O18" i="1"/>
  <c r="P18" i="1" s="1"/>
  <c r="Q18" i="1" s="1"/>
  <c r="O16" i="1"/>
  <c r="P16" i="1" s="1"/>
  <c r="O9" i="1"/>
  <c r="P9" i="1" s="1"/>
  <c r="Q9" i="1" s="1"/>
  <c r="O10" i="1"/>
  <c r="P10" i="1" s="1"/>
  <c r="Q10" i="1" s="1"/>
  <c r="O8" i="1"/>
  <c r="P8" i="1" s="1"/>
  <c r="Q8" i="1" s="1"/>
  <c r="P3" i="1"/>
  <c r="Q3" i="1" s="1"/>
  <c r="O17" i="1"/>
  <c r="P17" i="1" s="1"/>
  <c r="Q17" i="1" s="1"/>
  <c r="O11" i="1"/>
  <c r="P11" i="1" s="1"/>
  <c r="Q11" i="1" s="1"/>
  <c r="O6" i="1"/>
  <c r="P6" i="1" s="1"/>
  <c r="Q6" i="1" s="1"/>
  <c r="O12" i="1"/>
  <c r="P12" i="1" s="1"/>
  <c r="Q12" i="1" s="1"/>
  <c r="O15" i="1"/>
  <c r="O13" i="1"/>
  <c r="P13" i="1" s="1"/>
  <c r="Q13" i="1" s="1"/>
  <c r="Q7" i="1"/>
  <c r="P14" i="1"/>
  <c r="Q14" i="1" s="1"/>
  <c r="E32" i="6"/>
  <c r="F32" i="6" s="1"/>
  <c r="E33" i="6"/>
  <c r="F33" i="6" s="1"/>
  <c r="E34" i="6"/>
  <c r="F34" i="6" s="1"/>
  <c r="E35" i="6"/>
  <c r="F35" i="6" s="1"/>
  <c r="E31" i="6"/>
  <c r="F31" i="6" s="1"/>
  <c r="E33" i="1"/>
  <c r="F33" i="1" s="1"/>
  <c r="E34" i="1"/>
  <c r="F34" i="1" s="1"/>
  <c r="E35" i="1"/>
  <c r="F35" i="1" s="1"/>
  <c r="E36" i="1"/>
  <c r="F36" i="1" s="1"/>
  <c r="E32" i="1"/>
  <c r="F32" i="1" s="1"/>
  <c r="E29" i="1"/>
  <c r="E28" i="6" s="1"/>
  <c r="E26" i="11" s="1"/>
  <c r="E30" i="1"/>
  <c r="E29" i="6" s="1"/>
  <c r="E27" i="11" s="1"/>
  <c r="E31" i="1"/>
  <c r="E30" i="6" s="1"/>
  <c r="E28" i="11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O9" i="5"/>
  <c r="O8" i="5"/>
  <c r="P8" i="5" s="1"/>
  <c r="Q8" i="5" s="1"/>
  <c r="O7" i="5"/>
  <c r="P7" i="5" s="1"/>
  <c r="Q7" i="5" s="1"/>
  <c r="O18" i="5"/>
  <c r="P18" i="5" s="1"/>
  <c r="Q18" i="5" s="1"/>
  <c r="O16" i="5"/>
  <c r="P16" i="5" s="1"/>
  <c r="Q16" i="5" s="1"/>
  <c r="O4" i="5"/>
  <c r="P4" i="5" s="1"/>
  <c r="Q4" i="5" s="1"/>
  <c r="O17" i="5"/>
  <c r="P17" i="5" s="1"/>
  <c r="Q17" i="5" s="1"/>
  <c r="O6" i="5"/>
  <c r="P6" i="5" s="1"/>
  <c r="Q6" i="5" s="1"/>
  <c r="O11" i="5"/>
  <c r="P11" i="5" s="1"/>
  <c r="Q11" i="5" s="1"/>
  <c r="O13" i="5"/>
  <c r="P13" i="5" s="1"/>
  <c r="Q13" i="5" s="1"/>
  <c r="O12" i="5"/>
  <c r="P12" i="5" s="1"/>
  <c r="Q12" i="5" s="1"/>
  <c r="O5" i="5"/>
  <c r="P5" i="5" s="1"/>
  <c r="Q5" i="5" s="1"/>
  <c r="O10" i="5"/>
  <c r="P10" i="5" s="1"/>
  <c r="Q10" i="5" s="1"/>
  <c r="F29" i="6" l="1"/>
  <c r="E28" i="13"/>
  <c r="F28" i="13" s="1"/>
  <c r="F28" i="11"/>
  <c r="B42" i="13"/>
  <c r="B44" i="5"/>
  <c r="B43" i="6"/>
  <c r="B44" i="1"/>
  <c r="B38" i="11"/>
  <c r="P15" i="1"/>
  <c r="Q15" i="1" s="1"/>
  <c r="P9" i="5"/>
  <c r="Q9" i="5" s="1"/>
  <c r="F29" i="1"/>
  <c r="F38" i="1" s="1"/>
  <c r="E26" i="13"/>
  <c r="F26" i="13" s="1"/>
  <c r="F26" i="11"/>
  <c r="E27" i="13"/>
  <c r="F27" i="13" s="1"/>
  <c r="F27" i="11"/>
  <c r="C23" i="6"/>
  <c r="P20" i="6"/>
  <c r="Q20" i="6"/>
  <c r="C22" i="1"/>
  <c r="C22" i="5"/>
  <c r="F38" i="5"/>
  <c r="Q15" i="5"/>
  <c r="F30" i="6"/>
  <c r="F28" i="6"/>
  <c r="Q21" i="5" l="1"/>
  <c r="B41" i="13"/>
  <c r="B41" i="11"/>
  <c r="F35" i="13"/>
  <c r="C42" i="11" s="1"/>
  <c r="C24" i="1"/>
  <c r="B39" i="13"/>
  <c r="B42" i="1"/>
  <c r="B39" i="11"/>
  <c r="B41" i="6"/>
  <c r="B41" i="5"/>
  <c r="P21" i="5"/>
  <c r="C24" i="5"/>
  <c r="F35" i="11"/>
  <c r="C42" i="13" s="1"/>
  <c r="C40" i="13"/>
  <c r="C40" i="11"/>
  <c r="C42" i="5"/>
  <c r="C42" i="6"/>
  <c r="C41" i="1"/>
  <c r="C41" i="6"/>
  <c r="C42" i="1"/>
  <c r="C39" i="11"/>
  <c r="C39" i="13"/>
  <c r="C41" i="5"/>
  <c r="B43" i="5"/>
  <c r="B43" i="1"/>
  <c r="B40" i="6"/>
  <c r="Q16" i="1"/>
  <c r="Q21" i="1" s="1"/>
  <c r="P21" i="1"/>
  <c r="F27" i="6"/>
  <c r="F37" i="6" s="1"/>
  <c r="C45" i="1" l="1"/>
  <c r="C45" i="5"/>
  <c r="C44" i="6"/>
  <c r="C43" i="6"/>
  <c r="C44" i="1"/>
  <c r="C38" i="11"/>
  <c r="C38" i="13"/>
  <c r="C44" i="5"/>
  <c r="B40" i="13"/>
  <c r="B42" i="5"/>
  <c r="B40" i="11"/>
  <c r="B41" i="1"/>
  <c r="B42" i="6"/>
  <c r="C41" i="11"/>
  <c r="C41" i="13"/>
  <c r="C43" i="1"/>
  <c r="C43" i="5"/>
  <c r="C40" i="6"/>
</calcChain>
</file>

<file path=xl/sharedStrings.xml><?xml version="1.0" encoding="utf-8"?>
<sst xmlns="http://schemas.openxmlformats.org/spreadsheetml/2006/main" count="1049" uniqueCount="347">
  <si>
    <t>ID Number</t>
  </si>
  <si>
    <t>First name</t>
  </si>
  <si>
    <t>Last Name</t>
  </si>
  <si>
    <t>Age</t>
  </si>
  <si>
    <t>Gender</t>
  </si>
  <si>
    <t>Phone Number</t>
  </si>
  <si>
    <t>Costume Payment Option</t>
  </si>
  <si>
    <t>Installments</t>
  </si>
  <si>
    <t>Inclusive Fee Option</t>
  </si>
  <si>
    <t>Total Payment in JMD</t>
  </si>
  <si>
    <t>Emily</t>
  </si>
  <si>
    <t>Emma</t>
  </si>
  <si>
    <t>Ava</t>
  </si>
  <si>
    <t>Gonzalez</t>
  </si>
  <si>
    <t>Johnson</t>
  </si>
  <si>
    <t>Smith</t>
  </si>
  <si>
    <t>Wiliams</t>
  </si>
  <si>
    <t>Brown</t>
  </si>
  <si>
    <t>Jones</t>
  </si>
  <si>
    <t>Davis</t>
  </si>
  <si>
    <t>Taylor</t>
  </si>
  <si>
    <t>Martinez</t>
  </si>
  <si>
    <t>Anderson</t>
  </si>
  <si>
    <t>Garcia</t>
  </si>
  <si>
    <t>Rodriquez</t>
  </si>
  <si>
    <t>Wilson</t>
  </si>
  <si>
    <t>Hernandez</t>
  </si>
  <si>
    <t>Lopez</t>
  </si>
  <si>
    <t>Female</t>
  </si>
  <si>
    <t>Male</t>
  </si>
  <si>
    <t>Address</t>
  </si>
  <si>
    <t>(876) 378-9388</t>
  </si>
  <si>
    <t>(876) 338-9391</t>
  </si>
  <si>
    <t>Installment</t>
  </si>
  <si>
    <t>Single Playment</t>
  </si>
  <si>
    <t>Single Payment</t>
  </si>
  <si>
    <t>Full Payment</t>
  </si>
  <si>
    <t>-</t>
  </si>
  <si>
    <t>Full</t>
  </si>
  <si>
    <t>Partial</t>
  </si>
  <si>
    <t>Total Costume Amount</t>
  </si>
  <si>
    <t>Total Payment in USD</t>
  </si>
  <si>
    <t>Interest</t>
  </si>
  <si>
    <t>Discount</t>
  </si>
  <si>
    <t>JMD Equivalent</t>
  </si>
  <si>
    <t>Income</t>
  </si>
  <si>
    <t>Total Payment Collected</t>
  </si>
  <si>
    <t>Total Costume Payment</t>
  </si>
  <si>
    <t>No. of Masqueraders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</si>
  <si>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</si>
  <si>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</si>
  <si>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</si>
  <si>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</si>
  <si>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</si>
  <si>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</si>
  <si>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</si>
  <si>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</si>
  <si>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</si>
  <si>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Total Expenditure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</si>
  <si>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</si>
  <si>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</si>
  <si>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</si>
  <si>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</si>
  <si>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</si>
  <si>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</si>
  <si>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</si>
  <si>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</si>
  <si>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</si>
  <si>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Amelia</t>
  </si>
  <si>
    <t>Williams</t>
  </si>
  <si>
    <t>Mille</t>
  </si>
  <si>
    <t>Moore</t>
  </si>
  <si>
    <t>Thomas</t>
  </si>
  <si>
    <t>Jackson</t>
  </si>
  <si>
    <t>White</t>
  </si>
  <si>
    <t>Harris</t>
  </si>
  <si>
    <t>123 Maple Street, Springfield</t>
  </si>
  <si>
    <t>456 Oak Avenue, Lakeside</t>
  </si>
  <si>
    <t>789 Elm Lane, Greenfield</t>
  </si>
  <si>
    <t>101 Pine Road, Hilltop</t>
  </si>
  <si>
    <t>234 Cedar Court, Riverside</t>
  </si>
  <si>
    <t>567 Birch Drive, Meadowbrook</t>
  </si>
  <si>
    <t>890 Walnut Avenue, Woodland</t>
  </si>
  <si>
    <t>112 Oakwood Circle, Lakeshore</t>
  </si>
  <si>
    <t>345 Maple Lane, Forest Hills</t>
  </si>
  <si>
    <t>678 Pinecrest Road, Mountain View</t>
  </si>
  <si>
    <t>911 Elm Street, Parkside</t>
  </si>
  <si>
    <t>1313 Birchwood Avenue, Lakeview</t>
  </si>
  <si>
    <t>1414 Willow Way, Brookside</t>
  </si>
  <si>
    <t>1515 Cedar Lane, Hillcrest</t>
  </si>
  <si>
    <t>1618 Oakwood Drive, Lakeside</t>
  </si>
  <si>
    <t xml:space="preserve">Male </t>
  </si>
  <si>
    <t>Bryan</t>
  </si>
  <si>
    <t>Porter</t>
  </si>
  <si>
    <t>Jenna</t>
  </si>
  <si>
    <t>Lucas</t>
  </si>
  <si>
    <t>Scott</t>
  </si>
  <si>
    <t>Clark</t>
  </si>
  <si>
    <t>Rodriguez</t>
  </si>
  <si>
    <t>Lee</t>
  </si>
  <si>
    <t>Patel</t>
  </si>
  <si>
    <t>Nguyen</t>
  </si>
  <si>
    <t xml:space="preserve">Full </t>
  </si>
  <si>
    <t>Samuel</t>
  </si>
  <si>
    <t>Zoe</t>
  </si>
  <si>
    <t>Ruby</t>
  </si>
  <si>
    <t>Thompson</t>
  </si>
  <si>
    <t>Parker</t>
  </si>
  <si>
    <t>Robinson</t>
  </si>
  <si>
    <t>Baker</t>
  </si>
  <si>
    <t>Stewart</t>
  </si>
  <si>
    <t>Hill</t>
  </si>
  <si>
    <t>Bennett</t>
  </si>
  <si>
    <t>Allen</t>
  </si>
  <si>
    <t>13 Stennett Street</t>
  </si>
  <si>
    <t>33 Friendship Drive</t>
  </si>
  <si>
    <t>Section Name</t>
  </si>
  <si>
    <t>Total Income</t>
  </si>
  <si>
    <t>BacchaX</t>
  </si>
  <si>
    <t>DreamX</t>
  </si>
  <si>
    <t>Fant-X</t>
  </si>
  <si>
    <t>JamCarn X</t>
  </si>
  <si>
    <t>Xod-Us</t>
  </si>
  <si>
    <t>JamCarm X</t>
  </si>
  <si>
    <t>Fant - X</t>
  </si>
  <si>
    <t xml:space="preserve">Income </t>
  </si>
  <si>
    <t>Row Labels</t>
  </si>
  <si>
    <t>Grand Total</t>
  </si>
  <si>
    <t>Sum of Total Income</t>
  </si>
  <si>
    <t>Sum of Total Expenditure</t>
  </si>
  <si>
    <t>(876) 253-2858</t>
  </si>
  <si>
    <t>(876) 738-4999</t>
  </si>
  <si>
    <t>(876) 368-9380</t>
  </si>
  <si>
    <t>(876) 503-9395</t>
  </si>
  <si>
    <t>(876) 332-9396</t>
  </si>
  <si>
    <t>(876) 388-9397</t>
  </si>
  <si>
    <t>(876) 756-4851</t>
  </si>
  <si>
    <t>(876) 378-9389</t>
  </si>
  <si>
    <t>(876) 948-3957</t>
  </si>
  <si>
    <t>(876) 586-9564</t>
  </si>
  <si>
    <t>(876) 238-9398</t>
  </si>
  <si>
    <t>(876) 434-2346</t>
  </si>
  <si>
    <t>(876) 336-9391</t>
  </si>
  <si>
    <t>(876) 284-9394</t>
  </si>
  <si>
    <t>Eva</t>
  </si>
  <si>
    <t>Matt</t>
  </si>
  <si>
    <t>Eugene</t>
  </si>
  <si>
    <t>Charlie</t>
  </si>
  <si>
    <t>Angle</t>
  </si>
  <si>
    <t>Oliv</t>
  </si>
  <si>
    <t>Benny</t>
  </si>
  <si>
    <t>Jake</t>
  </si>
  <si>
    <t>mike</t>
  </si>
  <si>
    <t>Alex</t>
  </si>
  <si>
    <t>Mimi</t>
  </si>
  <si>
    <t>Will</t>
  </si>
  <si>
    <t>bella</t>
  </si>
  <si>
    <t>Stefene</t>
  </si>
  <si>
    <t>brown</t>
  </si>
  <si>
    <t>Johnston</t>
  </si>
  <si>
    <t>Damian</t>
  </si>
  <si>
    <t>ackeem</t>
  </si>
  <si>
    <t>Evan</t>
  </si>
  <si>
    <t>Eddie</t>
  </si>
  <si>
    <t>allen</t>
  </si>
  <si>
    <t>Avayah</t>
  </si>
  <si>
    <t>Eliana</t>
  </si>
  <si>
    <t>Jaxton</t>
  </si>
  <si>
    <t>Natasha</t>
  </si>
  <si>
    <t>Kase</t>
  </si>
  <si>
    <t>Darian</t>
  </si>
  <si>
    <t>Harry</t>
  </si>
  <si>
    <t>Sawyer</t>
  </si>
  <si>
    <t>Madalynn</t>
  </si>
  <si>
    <t>(876) 314-1572</t>
  </si>
  <si>
    <t>(876) 856-8757</t>
  </si>
  <si>
    <t>(876) 839-2057</t>
  </si>
  <si>
    <t>(876) 830-7596</t>
  </si>
  <si>
    <t>(876) 152-5006</t>
  </si>
  <si>
    <t>(876) 987-5433</t>
  </si>
  <si>
    <t>(876) 921-6346</t>
  </si>
  <si>
    <t>(876) 568-9742</t>
  </si>
  <si>
    <t>(876) 999-7682</t>
  </si>
  <si>
    <t>(876) 194-0002</t>
  </si>
  <si>
    <t>(876) 984-1163</t>
  </si>
  <si>
    <t>(876) 323-5373</t>
  </si>
  <si>
    <t>(876) 224-6958</t>
  </si>
  <si>
    <t>(876) 475-8124</t>
  </si>
  <si>
    <t>(876) 756-4212</t>
  </si>
  <si>
    <t>(876) 246-8016</t>
  </si>
  <si>
    <t>231 Apple Street</t>
  </si>
  <si>
    <t>342 Church Lane</t>
  </si>
  <si>
    <t>879 Pineappl Road</t>
  </si>
  <si>
    <t>890 Will Drive</t>
  </si>
  <si>
    <t>878 Ashley Street</t>
  </si>
  <si>
    <t>748 Pirch Lane</t>
  </si>
  <si>
    <t>676 Symone Street</t>
  </si>
  <si>
    <t>476 Oakland drive</t>
  </si>
  <si>
    <t>756 Bull Boluevard</t>
  </si>
  <si>
    <t>101 Elm street</t>
  </si>
  <si>
    <t>647 Cox Street</t>
  </si>
  <si>
    <t>56 Cordelia Drive</t>
  </si>
  <si>
    <t>263 Maple road</t>
  </si>
  <si>
    <t>435 Spence Avenue</t>
  </si>
  <si>
    <t>121 Magnolia provence</t>
  </si>
  <si>
    <t>116 Walnut drive</t>
  </si>
  <si>
    <t>Ryann</t>
  </si>
  <si>
    <t>Izabella</t>
  </si>
  <si>
    <t>Tobias</t>
  </si>
  <si>
    <t>Emory</t>
  </si>
  <si>
    <t>Sloan</t>
  </si>
  <si>
    <t>Brooklyn</t>
  </si>
  <si>
    <t>Carla</t>
  </si>
  <si>
    <t>Marcus</t>
  </si>
  <si>
    <t>Frankie</t>
  </si>
  <si>
    <t>Keyla</t>
  </si>
  <si>
    <t>Martha</t>
  </si>
  <si>
    <t>Owens</t>
  </si>
  <si>
    <t>leach</t>
  </si>
  <si>
    <t>Mitch</t>
  </si>
  <si>
    <t>simmonds</t>
  </si>
  <si>
    <t>4 Dunrobin Ave</t>
  </si>
  <si>
    <t>White Marl</t>
  </si>
  <si>
    <t>4 Goodwood Terr</t>
  </si>
  <si>
    <t>Church rd</t>
  </si>
  <si>
    <t>22a Union St</t>
  </si>
  <si>
    <t>1/2 Munroe Rd</t>
  </si>
  <si>
    <t>6 Caledonia Ave</t>
  </si>
  <si>
    <t>58 HWT Rd</t>
  </si>
  <si>
    <t>14 Ballater Ave</t>
  </si>
  <si>
    <t>136a Red Hills Rd</t>
  </si>
  <si>
    <t>3 Beechwood Ave</t>
  </si>
  <si>
    <t>59 Lyndhurst Rd</t>
  </si>
  <si>
    <t>1 Kent Ave</t>
  </si>
  <si>
    <t>Spur Tree</t>
  </si>
  <si>
    <t>(876) 925-4741</t>
  </si>
  <si>
    <t>(876) 984-2749</t>
  </si>
  <si>
    <t>(876) 135-6922</t>
  </si>
  <si>
    <t>(876) 929-3073</t>
  </si>
  <si>
    <t>(876) 979-0064</t>
  </si>
  <si>
    <t>(876) 927-7362</t>
  </si>
  <si>
    <t>(876) 929-6663</t>
  </si>
  <si>
    <t>(876) 929-8493</t>
  </si>
  <si>
    <t>(876) 968-4932</t>
  </si>
  <si>
    <t>(876) 931-8320</t>
  </si>
  <si>
    <t>(876) 929-1482</t>
  </si>
  <si>
    <t>(876) 985-2012</t>
  </si>
  <si>
    <t>(876) 952-4373</t>
  </si>
  <si>
    <t>(876) 962-2211</t>
  </si>
  <si>
    <t>25 East Gueen</t>
  </si>
  <si>
    <t>2 Molynes Rd</t>
  </si>
  <si>
    <t>3 Duke</t>
  </si>
  <si>
    <t>53 Gilmour Dr</t>
  </si>
  <si>
    <t>63 Mark Lane</t>
  </si>
  <si>
    <t>327a Spain 1</t>
  </si>
  <si>
    <t>8 Haughton Ave</t>
  </si>
  <si>
    <t>39 Caracas Ave</t>
  </si>
  <si>
    <t>7 Lady Musgrave Rd</t>
  </si>
  <si>
    <t>Upr Elletson Rd</t>
  </si>
  <si>
    <t>Gordon Town</t>
  </si>
  <si>
    <t>51 Gilmour Drive</t>
  </si>
  <si>
    <t>71 Molynes Rd</t>
  </si>
  <si>
    <t>Twickenham Pk</t>
  </si>
  <si>
    <t>(876) 922-6981</t>
  </si>
  <si>
    <t>(876) 923-7282</t>
  </si>
  <si>
    <t>(876) 922-6156</t>
  </si>
  <si>
    <t>(876) 925-4575</t>
  </si>
  <si>
    <t>(876) 967-0910</t>
  </si>
  <si>
    <t>(876) 901-5214</t>
  </si>
  <si>
    <t>(876) 903-1033</t>
  </si>
  <si>
    <t>(876) 921-6894</t>
  </si>
  <si>
    <t>(876) 924-5626</t>
  </si>
  <si>
    <t>(876) 924-1024</t>
  </si>
  <si>
    <t>(876) 701-1866</t>
  </si>
  <si>
    <t>(876) 922-5291</t>
  </si>
  <si>
    <t>(876) 754-8099</t>
  </si>
  <si>
    <t>(876) 982-3092</t>
  </si>
  <si>
    <t>Brix</t>
  </si>
  <si>
    <t>Arabella</t>
  </si>
  <si>
    <t>Emillio</t>
  </si>
  <si>
    <t>Myla</t>
  </si>
  <si>
    <t>Axl</t>
  </si>
  <si>
    <t>Quenton</t>
  </si>
  <si>
    <t>Khalid</t>
  </si>
  <si>
    <t>Royce</t>
  </si>
  <si>
    <t>Joy</t>
  </si>
  <si>
    <t>Seven</t>
  </si>
  <si>
    <t>Charleigh</t>
  </si>
  <si>
    <t>Mekaelynn</t>
  </si>
  <si>
    <t>Xander</t>
  </si>
  <si>
    <t>Shawn</t>
  </si>
  <si>
    <t>Tae</t>
  </si>
  <si>
    <t>Anabelle</t>
  </si>
  <si>
    <t>Jenny</t>
  </si>
  <si>
    <t>Becca</t>
  </si>
  <si>
    <t>Eli</t>
  </si>
  <si>
    <t>Alia</t>
  </si>
  <si>
    <t>Brina</t>
  </si>
  <si>
    <t>Bryann</t>
  </si>
  <si>
    <t>Jessie</t>
  </si>
  <si>
    <t>Marlee</t>
  </si>
  <si>
    <t>Douglas</t>
  </si>
  <si>
    <t>Winston</t>
  </si>
  <si>
    <t>Moss</t>
  </si>
  <si>
    <t>Reeves</t>
  </si>
  <si>
    <t>Fox</t>
  </si>
  <si>
    <t>Ben</t>
  </si>
  <si>
    <t>Stark</t>
  </si>
  <si>
    <t>Castro</t>
  </si>
  <si>
    <t>Cochran</t>
  </si>
  <si>
    <t>Tang</t>
  </si>
  <si>
    <t>Mendez</t>
  </si>
  <si>
    <t>Welch</t>
  </si>
  <si>
    <t>Cortez</t>
  </si>
  <si>
    <t>Huang</t>
  </si>
  <si>
    <t>Stevenson</t>
  </si>
  <si>
    <t>4 Molynes Rd</t>
  </si>
  <si>
    <t>16 Seymour Avenue</t>
  </si>
  <si>
    <t>9 Easton Avenue</t>
  </si>
  <si>
    <t>85 Hagley Park Rd</t>
  </si>
  <si>
    <t>30 Dunrobin Avenue</t>
  </si>
  <si>
    <t>72 Hope Rd</t>
  </si>
  <si>
    <t>53 Knutsford Blvd</t>
  </si>
  <si>
    <t xml:space="preserve">87a Orange </t>
  </si>
  <si>
    <t>12 Ruthven Rd</t>
  </si>
  <si>
    <t>Wentworth</t>
  </si>
  <si>
    <t>123 Constant Spring Rd</t>
  </si>
  <si>
    <t>14 Half Retirement Rd</t>
  </si>
  <si>
    <t>21 Red Hills Rd</t>
  </si>
  <si>
    <t>24 Riverton Blvd</t>
  </si>
  <si>
    <t>10 Trafalgar Rd</t>
  </si>
  <si>
    <t>(876) 916-4569</t>
  </si>
  <si>
    <t>(876) 926-3790</t>
  </si>
  <si>
    <t>(876) 925-3688</t>
  </si>
  <si>
    <t>(876) 961-3971</t>
  </si>
  <si>
    <t>(876) 754-3678</t>
  </si>
  <si>
    <t xml:space="preserve">(876) 926-3221  </t>
  </si>
  <si>
    <t>(876) 927-8911</t>
  </si>
  <si>
    <t>(876) 934-9187</t>
  </si>
  <si>
    <t>(876) 964-8396</t>
  </si>
  <si>
    <t>(876) 479-3196</t>
  </si>
  <si>
    <t>(876) 914-1656</t>
  </si>
  <si>
    <t>(876) 934-0826</t>
  </si>
  <si>
    <t>(876) 931-2456</t>
  </si>
  <si>
    <t>(876) 913-8666</t>
  </si>
  <si>
    <t>(876) 472-695</t>
  </si>
  <si>
    <t>(876) 934-3049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</si>
</sst>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0" applyFont="1"/>
    <xf numFmtId="9" fontId="0" fillId="0" borderId="0" xfId="1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</a:t>
            </a:r>
            <a:r>
              <a:rPr lang="en-US" baseline="0"/>
              <a:t> Expenditure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BacchaX!$C$27</c:f>
              <c:strCache>
                <c:ptCount val="1"/>
                <c:pt idx="0">
                  <c:v>Flat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BacchaX!$C$28:$C$36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&quot;$&quot;#,##0.00">
                  <c:v>3000</c:v>
                </c:pt>
                <c:pt idx="5" formatCode="&quot;$&quot;#,##0.00">
                  <c:v>2500</c:v>
                </c:pt>
                <c:pt idx="6" formatCode="&quot;$&quot;#,##0.00">
                  <c:v>4000</c:v>
                </c:pt>
                <c:pt idx="7" formatCode="&quot;$&quot;#,##0.00">
                  <c:v>1800</c:v>
                </c:pt>
                <c:pt idx="8" formatCode="&quot;$&quot;#,##0.0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1-4039-949B-0543DB92F9F0}"/>
            </c:ext>
          </c:extLst>
        </c:ser>
        <c:ser>
          <c:idx val="1"/>
          <c:order val="1"/>
          <c:tx>
            <c:strRef>
              <c:f>BacchaX!$D$27</c:f>
              <c:strCache>
                <c:ptCount val="1"/>
                <c:pt idx="0">
                  <c:v>Service Interest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BacchaX!$D$28:$D$36</c:f>
              <c:numCache>
                <c:formatCode>0%</c:formatCode>
                <c:ptCount val="9"/>
                <c:pt idx="0">
                  <c:v>0.15</c:v>
                </c:pt>
                <c:pt idx="1">
                  <c:v>0.15</c:v>
                </c:pt>
                <c:pt idx="2">
                  <c:v>0.12</c:v>
                </c:pt>
                <c:pt idx="3">
                  <c:v>0.08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1-4039-949B-0543DB92F9F0}"/>
            </c:ext>
          </c:extLst>
        </c:ser>
        <c:ser>
          <c:idx val="2"/>
          <c:order val="2"/>
          <c:tx>
            <c:strRef>
              <c:f>BacchaX!$E$27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BacchaX!$E$28:$E$36</c:f>
              <c:numCache>
                <c:formatCode>"$"#,##0.00</c:formatCode>
                <c:ptCount val="9"/>
                <c:pt idx="0">
                  <c:v>60</c:v>
                </c:pt>
                <c:pt idx="1">
                  <c:v>40</c:v>
                </c:pt>
                <c:pt idx="2">
                  <c:v>135</c:v>
                </c:pt>
                <c:pt idx="3">
                  <c:v>95</c:v>
                </c:pt>
                <c:pt idx="4">
                  <c:v>600</c:v>
                </c:pt>
                <c:pt idx="5">
                  <c:v>500</c:v>
                </c:pt>
                <c:pt idx="6">
                  <c:v>800</c:v>
                </c:pt>
                <c:pt idx="7">
                  <c:v>360</c:v>
                </c:pt>
                <c:pt idx="8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1-4039-949B-0543DB92F9F0}"/>
            </c:ext>
          </c:extLst>
        </c:ser>
        <c:ser>
          <c:idx val="3"/>
          <c:order val="3"/>
          <c:tx>
            <c:strRef>
              <c:f>BacchaX!$F$27</c:f>
              <c:strCache>
                <c:ptCount val="1"/>
                <c:pt idx="0">
                  <c:v>Total Cost per Service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BacchaX!$F$28:$F$36</c:f>
              <c:numCache>
                <c:formatCode>"$"#,##0.00</c:formatCode>
                <c:ptCount val="9"/>
                <c:pt idx="0">
                  <c:v>900</c:v>
                </c:pt>
                <c:pt idx="1">
                  <c:v>600</c:v>
                </c:pt>
                <c:pt idx="2">
                  <c:v>2025</c:v>
                </c:pt>
                <c:pt idx="3">
                  <c:v>1425</c:v>
                </c:pt>
                <c:pt idx="4">
                  <c:v>9000</c:v>
                </c:pt>
                <c:pt idx="5">
                  <c:v>7500</c:v>
                </c:pt>
                <c:pt idx="6">
                  <c:v>12000</c:v>
                </c:pt>
                <c:pt idx="7">
                  <c:v>5400</c:v>
                </c:pt>
                <c:pt idx="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B1-4039-949B-0543DB92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227984"/>
        <c:axId val="279198696"/>
      </c:barChart>
      <c:catAx>
        <c:axId val="27922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98696"/>
        <c:crosses val="autoZero"/>
        <c:auto val="1"/>
        <c:lblAlgn val="ctr"/>
        <c:lblOffset val="100"/>
        <c:noMultiLvlLbl val="0"/>
      </c:catAx>
      <c:valAx>
        <c:axId val="27919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2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Income vs Expenditure per</a:t>
            </a:r>
            <a:r>
              <a:rPr lang="en-US" baseline="0"/>
              <a:t> </a:t>
            </a:r>
            <a:r>
              <a:rPr lang="en-US"/>
              <a:t>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80336832895887"/>
          <c:y val="0.30076443569553807"/>
          <c:w val="0.7827521872265966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BacchaX!$B$40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BacchaX!$A$41:$A$45</c:f>
              <c:strCache>
                <c:ptCount val="5"/>
                <c:pt idx="0">
                  <c:v>BacchaX</c:v>
                </c:pt>
                <c:pt idx="1">
                  <c:v>Xod-Us</c:v>
                </c:pt>
                <c:pt idx="2">
                  <c:v>JamCarm X</c:v>
                </c:pt>
                <c:pt idx="3">
                  <c:v>Fant-X</c:v>
                </c:pt>
                <c:pt idx="4">
                  <c:v>DreamX</c:v>
                </c:pt>
              </c:strCache>
            </c:strRef>
          </c:cat>
          <c:val>
            <c:numRef>
              <c:f>BacchaX!$B$41:$B$45</c:f>
              <c:numCache>
                <c:formatCode>"$"#,##0.00</c:formatCode>
                <c:ptCount val="5"/>
                <c:pt idx="0">
                  <c:v>494571.24275999994</c:v>
                </c:pt>
                <c:pt idx="1">
                  <c:v>587258.46560499992</c:v>
                </c:pt>
                <c:pt idx="2">
                  <c:v>816988.52395999979</c:v>
                </c:pt>
                <c:pt idx="3">
                  <c:v>849396.31559999997</c:v>
                </c:pt>
                <c:pt idx="4">
                  <c:v>1018096.4038000001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9-41C3-9F66-7029AB766B36}"/>
            </c:ext>
          </c:extLst>
        </c:ser>
        <c:ser>
          <c:idx val="1"/>
          <c:order val="1"/>
          <c:tx>
            <c:strRef>
              <c:f>BacchaX!$C$40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BacchaX!$A$41:$A$45</c:f>
              <c:strCache>
                <c:ptCount val="5"/>
                <c:pt idx="0">
                  <c:v>BacchaX</c:v>
                </c:pt>
                <c:pt idx="1">
                  <c:v>Xod-Us</c:v>
                </c:pt>
                <c:pt idx="2">
                  <c:v>JamCarm X</c:v>
                </c:pt>
                <c:pt idx="3">
                  <c:v>Fant-X</c:v>
                </c:pt>
                <c:pt idx="4">
                  <c:v>DreamX</c:v>
                </c:pt>
              </c:strCache>
            </c:strRef>
          </c:cat>
          <c:val>
            <c:numRef>
              <c:f>BacchaX!$C$41:$C$45</c:f>
              <c:numCache>
                <c:formatCode>"$"#,##0.00</c:formatCode>
                <c:ptCount val="5"/>
                <c:pt idx="0">
                  <c:v>53850</c:v>
                </c:pt>
                <c:pt idx="1">
                  <c:v>54183</c:v>
                </c:pt>
                <c:pt idx="2">
                  <c:v>54912.36</c:v>
                </c:pt>
                <c:pt idx="3">
                  <c:v>55754.155200000001</c:v>
                </c:pt>
                <c:pt idx="4">
                  <c:v>56727.326784000004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9-41C3-9F66-7029AB766B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8800896"/>
        <c:axId val="278805384"/>
      </c:barChart>
      <c:catAx>
        <c:axId val="2788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5384"/>
        <c:crosses val="autoZero"/>
        <c:auto val="1"/>
        <c:lblAlgn val="ctr"/>
        <c:lblOffset val="100"/>
        <c:noMultiLvlLbl val="0"/>
      </c:catAx>
      <c:valAx>
        <c:axId val="27880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1062036</xdr:colOff>
      <xdr:row>46</xdr:row>
      <xdr:rowOff>23811</xdr:rowOff>
    </xdr:from>
    <xdr:to>
      <xdr:col>5</xdr:col>
      <xdr:colOff>1362074</xdr:colOff>
      <xdr:row>64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hael Gager" refreshedDate="45675.636526388887" createdVersion="5" refreshedVersion="5" minRefreshableVersion="3" recordCount="5" xr:uid="{00000000-000A-0000-FFFF-FFFF02000000}">
  <cacheSource type="worksheet">
    <worksheetSource ref="A37:C42" sheet="DreamX"/>
  </cacheSource>
  <cacheFields count="3">
    <cacheField name="Section Name" numFmtId="0">
      <sharedItems count="5">
        <s v="DreamX"/>
        <s v="BacchaX"/>
        <s v="Xod-Us"/>
        <s v="JamCarn X"/>
        <s v="Fant - X"/>
      </sharedItems>
    </cacheField>
    <cacheField name="Total Income" numFmtId="164">
      <sharedItems containsSemiMixedTypes="0" containsString="0" containsNumber="1" minValue="494571.24275999994" maxValue="1018096.4038000001"/>
    </cacheField>
    <cacheField name="Total Expenditure" numFmtId="164">
      <sharedItems containsSemiMixedTypes="0" containsString="0" containsNumber="1" minValue="53850" maxValue="56727.326784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1018096.4038000001"/>
    <n v="56727.326784000004"/>
  </r>
  <r>
    <x v="1"/>
    <n v="494571.24275999994"/>
    <n v="53850"/>
  </r>
  <r>
    <x v="2"/>
    <n v="587258.46560499992"/>
    <n v="54183"/>
  </r>
  <r>
    <x v="3"/>
    <n v="816988.52395999979"/>
    <n v="54912.36"/>
  </r>
  <r>
    <x v="4"/>
    <n v="849396.31559999997"/>
    <n v="55754.1552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axis="axisRow" showAll="0">
      <items count="6">
        <item x="1"/>
        <item x="0"/>
        <item x="4"/>
        <item x="3"/>
        <item x="2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Income" fld="1" baseField="0" baseItem="0"/>
    <dataField name="Sum of Total Expendi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showFormulas="1" topLeftCell="A2" zoomScale="89" zoomScaleNormal="89" workbookViewId="0">
      <selection activeCell="F18" sqref="F18"/>
    </sheetView>
  </sheetViews>
  <sheetFormatPr defaultRowHeight="15" x14ac:dyDescent="0.25"/>
  <cols>
    <col min="1" max="1" width="16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20.85546875" customWidth="1"/>
    <col min="7" max="7" width="18.57031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2" t="s">
        <v>7</v>
      </c>
      <c r="K2" s="12"/>
      <c r="L2" s="12"/>
      <c r="M2" s="12" t="s">
        <v>8</v>
      </c>
      <c r="N2" s="12"/>
      <c r="O2" s="1" t="s">
        <v>40</v>
      </c>
      <c r="P2" s="1" t="s">
        <v>41</v>
      </c>
      <c r="Q2" s="1" t="s">
        <v>9</v>
      </c>
    </row>
    <row r="3" spans="1:20" x14ac:dyDescent="0.25">
      <c r="A3" s="2">
        <v>27612</v>
      </c>
      <c r="B3" t="s">
        <v>10</v>
      </c>
      <c r="C3" t="s">
        <v>159</v>
      </c>
      <c r="D3" s="3">
        <v>29</v>
      </c>
      <c r="E3" t="s">
        <v>28</v>
      </c>
      <c r="F3" t="s">
        <v>190</v>
      </c>
      <c r="G3" t="s">
        <v>130</v>
      </c>
      <c r="H3" t="s">
        <v>33</v>
      </c>
      <c r="I3" s="3" t="s">
        <v>37</v>
      </c>
      <c r="J3" s="4">
        <v>53.33</v>
      </c>
      <c r="K3" s="4">
        <v>53.33</v>
      </c>
      <c r="L3" s="4">
        <v>53.33</v>
      </c>
      <c r="M3" s="4" t="s">
        <v>38</v>
      </c>
      <c r="N3" s="5">
        <v>150</v>
      </c>
      <c r="O3" s="4">
        <f t="shared" ref="O3:O18" si="0">SUM(I3:L3)</f>
        <v>159.99</v>
      </c>
      <c r="P3" s="4">
        <f>O3+(O3*$T$4)+N3</f>
        <v>333.98850000000004</v>
      </c>
      <c r="Q3" s="4">
        <f t="shared" ref="Q3:Q18" si="1">P3*$T$6</f>
        <v>51738.158535000002</v>
      </c>
    </row>
    <row r="4" spans="1:20" x14ac:dyDescent="0.25">
      <c r="A4" s="2">
        <v>47423</v>
      </c>
      <c r="B4" t="s">
        <v>11</v>
      </c>
      <c r="C4" t="s">
        <v>158</v>
      </c>
      <c r="D4" s="3">
        <v>25</v>
      </c>
      <c r="E4" t="s">
        <v>28</v>
      </c>
      <c r="F4" t="s">
        <v>191</v>
      </c>
      <c r="G4" t="s">
        <v>32</v>
      </c>
      <c r="H4" t="s">
        <v>33</v>
      </c>
      <c r="I4" s="4" t="s">
        <v>37</v>
      </c>
      <c r="J4" s="4">
        <v>53.33</v>
      </c>
      <c r="K4" s="4">
        <v>53.33</v>
      </c>
      <c r="L4" s="4">
        <v>53.33</v>
      </c>
      <c r="M4" s="4" t="s">
        <v>38</v>
      </c>
      <c r="N4" s="5">
        <v>150</v>
      </c>
      <c r="O4" s="4">
        <f t="shared" si="0"/>
        <v>159.99</v>
      </c>
      <c r="P4" s="4">
        <f>O4+(O4*$T$4)+N4</f>
        <v>333.98850000000004</v>
      </c>
      <c r="Q4" s="4">
        <f t="shared" si="1"/>
        <v>51738.158535000002</v>
      </c>
      <c r="S4" s="6" t="s">
        <v>42</v>
      </c>
      <c r="T4" s="7">
        <v>0.15</v>
      </c>
    </row>
    <row r="5" spans="1:20" x14ac:dyDescent="0.25">
      <c r="A5" s="2">
        <v>24246</v>
      </c>
      <c r="B5" t="s">
        <v>157</v>
      </c>
      <c r="C5" t="s">
        <v>16</v>
      </c>
      <c r="D5" s="3">
        <v>21</v>
      </c>
      <c r="E5" t="s">
        <v>28</v>
      </c>
      <c r="F5" t="s">
        <v>192</v>
      </c>
      <c r="G5" t="s">
        <v>131</v>
      </c>
      <c r="H5" t="s">
        <v>35</v>
      </c>
      <c r="I5" s="4">
        <v>160</v>
      </c>
      <c r="J5" s="4" t="s">
        <v>37</v>
      </c>
      <c r="K5" s="4" t="s">
        <v>37</v>
      </c>
      <c r="L5" s="4" t="s">
        <v>37</v>
      </c>
      <c r="M5" s="4" t="s">
        <v>38</v>
      </c>
      <c r="N5" s="5">
        <v>150</v>
      </c>
      <c r="O5" s="4">
        <f t="shared" si="0"/>
        <v>160</v>
      </c>
      <c r="P5" s="4">
        <f>O5-(O5*$T$5)+N5</f>
        <v>294</v>
      </c>
      <c r="Q5" s="4">
        <f t="shared" si="1"/>
        <v>45543.54</v>
      </c>
      <c r="S5" s="6" t="s">
        <v>43</v>
      </c>
      <c r="T5" s="7">
        <v>0.1</v>
      </c>
    </row>
    <row r="6" spans="1:20" x14ac:dyDescent="0.25">
      <c r="A6" s="2">
        <v>73754</v>
      </c>
      <c r="B6" t="s">
        <v>156</v>
      </c>
      <c r="C6" t="s">
        <v>20</v>
      </c>
      <c r="D6" s="3">
        <v>31</v>
      </c>
      <c r="E6" t="s">
        <v>28</v>
      </c>
      <c r="F6" t="s">
        <v>193</v>
      </c>
      <c r="G6" t="s">
        <v>132</v>
      </c>
      <c r="H6" t="s">
        <v>35</v>
      </c>
      <c r="I6" s="4">
        <v>160</v>
      </c>
      <c r="J6" s="4" t="s">
        <v>37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0"/>
        <v>160</v>
      </c>
      <c r="P6" s="4">
        <f>O6-(O6*$T$5)+N6</f>
        <v>294</v>
      </c>
      <c r="Q6" s="4">
        <f t="shared" si="1"/>
        <v>45543.54</v>
      </c>
      <c r="S6" s="6" t="s">
        <v>44</v>
      </c>
      <c r="T6" s="8">
        <v>154.91</v>
      </c>
    </row>
    <row r="7" spans="1:20" x14ac:dyDescent="0.25">
      <c r="A7" s="2">
        <v>34545</v>
      </c>
      <c r="B7" t="s">
        <v>155</v>
      </c>
      <c r="C7" t="s">
        <v>25</v>
      </c>
      <c r="D7" s="3">
        <v>37</v>
      </c>
      <c r="E7" t="s">
        <v>29</v>
      </c>
      <c r="F7" t="s">
        <v>194</v>
      </c>
      <c r="G7" t="s">
        <v>133</v>
      </c>
      <c r="H7" t="s">
        <v>35</v>
      </c>
      <c r="I7" s="4">
        <v>160</v>
      </c>
      <c r="J7" s="4" t="s">
        <v>37</v>
      </c>
      <c r="K7" s="4" t="s">
        <v>37</v>
      </c>
      <c r="L7" s="4" t="s">
        <v>37</v>
      </c>
      <c r="M7" s="4" t="s">
        <v>38</v>
      </c>
      <c r="N7" s="5">
        <v>150</v>
      </c>
      <c r="O7" s="4">
        <f t="shared" si="0"/>
        <v>160</v>
      </c>
      <c r="P7" s="4">
        <f>O7-(O7*$T$5)+N7</f>
        <v>294</v>
      </c>
      <c r="Q7" s="4">
        <f t="shared" si="1"/>
        <v>45543.54</v>
      </c>
    </row>
    <row r="8" spans="1:20" x14ac:dyDescent="0.25">
      <c r="A8" s="2">
        <v>64667</v>
      </c>
      <c r="B8" t="s">
        <v>154</v>
      </c>
      <c r="C8" t="s">
        <v>26</v>
      </c>
      <c r="D8" s="3">
        <v>24</v>
      </c>
      <c r="E8" t="s">
        <v>28</v>
      </c>
      <c r="F8" t="s">
        <v>195</v>
      </c>
      <c r="G8" t="s">
        <v>134</v>
      </c>
      <c r="H8" t="s">
        <v>35</v>
      </c>
      <c r="I8" s="4">
        <v>160</v>
      </c>
      <c r="J8" s="4" t="s">
        <v>37</v>
      </c>
      <c r="K8" s="4" t="s">
        <v>37</v>
      </c>
      <c r="L8" s="4" t="s">
        <v>37</v>
      </c>
      <c r="M8" s="4" t="s">
        <v>38</v>
      </c>
      <c r="N8" s="5">
        <v>150</v>
      </c>
      <c r="O8" s="4">
        <f t="shared" si="0"/>
        <v>160</v>
      </c>
      <c r="P8" s="4">
        <f>O8-(O8*$T$5)+N8</f>
        <v>294</v>
      </c>
      <c r="Q8" s="4">
        <f t="shared" si="1"/>
        <v>45543.54</v>
      </c>
    </row>
    <row r="9" spans="1:20" x14ac:dyDescent="0.25">
      <c r="A9" s="2">
        <v>45667</v>
      </c>
      <c r="B9" t="s">
        <v>153</v>
      </c>
      <c r="C9" t="s">
        <v>27</v>
      </c>
      <c r="D9" s="3">
        <v>31</v>
      </c>
      <c r="E9" t="s">
        <v>29</v>
      </c>
      <c r="F9" t="s">
        <v>196</v>
      </c>
      <c r="G9" t="s">
        <v>135</v>
      </c>
      <c r="H9" t="s">
        <v>35</v>
      </c>
      <c r="I9" s="4">
        <v>160</v>
      </c>
      <c r="J9" s="4" t="s">
        <v>37</v>
      </c>
      <c r="K9" s="4" t="s">
        <v>37</v>
      </c>
      <c r="L9" s="4" t="s">
        <v>37</v>
      </c>
      <c r="M9" s="4" t="s">
        <v>38</v>
      </c>
      <c r="N9" s="5">
        <v>150</v>
      </c>
      <c r="O9" s="4">
        <f t="shared" si="0"/>
        <v>160</v>
      </c>
      <c r="P9" s="4">
        <f>O9-(O9*$T$5)+N9</f>
        <v>294</v>
      </c>
      <c r="Q9" s="4">
        <f t="shared" si="1"/>
        <v>45543.54</v>
      </c>
    </row>
    <row r="10" spans="1:20" x14ac:dyDescent="0.25">
      <c r="A10" s="2">
        <v>34335</v>
      </c>
      <c r="B10" t="s">
        <v>152</v>
      </c>
      <c r="C10" t="s">
        <v>15</v>
      </c>
      <c r="D10" s="3">
        <v>36</v>
      </c>
      <c r="E10" t="s">
        <v>29</v>
      </c>
      <c r="F10" t="s">
        <v>197</v>
      </c>
      <c r="G10" t="s">
        <v>136</v>
      </c>
      <c r="H10" t="s">
        <v>33</v>
      </c>
      <c r="I10" s="3" t="s">
        <v>37</v>
      </c>
      <c r="J10" s="4">
        <v>53.33</v>
      </c>
      <c r="K10" s="4" t="s">
        <v>37</v>
      </c>
      <c r="L10" s="4" t="s">
        <v>37</v>
      </c>
      <c r="M10" s="4" t="s">
        <v>38</v>
      </c>
      <c r="N10" s="5">
        <v>150</v>
      </c>
      <c r="O10" s="4">
        <f t="shared" si="0"/>
        <v>53.33</v>
      </c>
      <c r="P10" s="4">
        <f>O10+(O10*$T$4)+N10</f>
        <v>211.3295</v>
      </c>
      <c r="Q10" s="4">
        <f t="shared" si="1"/>
        <v>32737.052844999998</v>
      </c>
    </row>
    <row r="11" spans="1:20" x14ac:dyDescent="0.25">
      <c r="A11" s="2">
        <v>23834</v>
      </c>
      <c r="B11" t="s">
        <v>151</v>
      </c>
      <c r="C11" t="s">
        <v>19</v>
      </c>
      <c r="D11" s="3">
        <v>35</v>
      </c>
      <c r="E11" t="s">
        <v>29</v>
      </c>
      <c r="F11" t="s">
        <v>198</v>
      </c>
      <c r="G11" t="s">
        <v>137</v>
      </c>
      <c r="H11" t="s">
        <v>33</v>
      </c>
      <c r="I11" s="4" t="s">
        <v>37</v>
      </c>
      <c r="J11" s="4">
        <v>53.33</v>
      </c>
      <c r="K11" s="4" t="s">
        <v>37</v>
      </c>
      <c r="L11" s="4" t="s">
        <v>37</v>
      </c>
      <c r="M11" s="4" t="s">
        <v>38</v>
      </c>
      <c r="N11" s="5">
        <v>150</v>
      </c>
      <c r="O11" s="4">
        <f t="shared" si="0"/>
        <v>53.33</v>
      </c>
      <c r="P11" s="4">
        <f>O11+(O11*$T$4)+N11</f>
        <v>211.3295</v>
      </c>
      <c r="Q11" s="4">
        <f t="shared" si="1"/>
        <v>32737.052844999998</v>
      </c>
    </row>
    <row r="12" spans="1:20" x14ac:dyDescent="0.25">
      <c r="A12" s="2">
        <v>65629</v>
      </c>
      <c r="B12" t="s">
        <v>150</v>
      </c>
      <c r="C12" t="s">
        <v>17</v>
      </c>
      <c r="D12" s="3">
        <v>41</v>
      </c>
      <c r="E12" t="s">
        <v>29</v>
      </c>
      <c r="F12" t="s">
        <v>199</v>
      </c>
      <c r="G12" t="s">
        <v>138</v>
      </c>
      <c r="H12" t="s">
        <v>35</v>
      </c>
      <c r="I12" s="4">
        <v>160</v>
      </c>
      <c r="J12" s="4" t="s">
        <v>37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0"/>
        <v>160</v>
      </c>
      <c r="P12" s="4">
        <f>O12-(O12*$T$5)+N12</f>
        <v>194</v>
      </c>
      <c r="Q12" s="4">
        <f t="shared" si="1"/>
        <v>30052.54</v>
      </c>
    </row>
    <row r="13" spans="1:20" x14ac:dyDescent="0.25">
      <c r="A13" s="2">
        <v>55434</v>
      </c>
      <c r="B13" t="s">
        <v>149</v>
      </c>
      <c r="C13" t="s">
        <v>18</v>
      </c>
      <c r="D13" s="3">
        <v>27</v>
      </c>
      <c r="E13" t="s">
        <v>28</v>
      </c>
      <c r="F13" t="s">
        <v>200</v>
      </c>
      <c r="G13" t="s">
        <v>31</v>
      </c>
      <c r="H13" t="s">
        <v>34</v>
      </c>
      <c r="I13" s="4">
        <v>160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0"/>
        <v>160</v>
      </c>
      <c r="P13" s="4">
        <f>O13-(O13*$T$5)+N13</f>
        <v>194</v>
      </c>
      <c r="Q13" s="4">
        <f t="shared" si="1"/>
        <v>30052.54</v>
      </c>
    </row>
    <row r="14" spans="1:20" x14ac:dyDescent="0.25">
      <c r="A14" s="2">
        <v>25202</v>
      </c>
      <c r="B14" t="s">
        <v>148</v>
      </c>
      <c r="C14" t="s">
        <v>27</v>
      </c>
      <c r="D14" s="3">
        <v>40</v>
      </c>
      <c r="E14" t="s">
        <v>28</v>
      </c>
      <c r="F14" t="s">
        <v>201</v>
      </c>
      <c r="G14" t="s">
        <v>139</v>
      </c>
      <c r="H14" t="s">
        <v>35</v>
      </c>
      <c r="I14" s="4">
        <v>160</v>
      </c>
      <c r="J14" s="4" t="s">
        <v>37</v>
      </c>
      <c r="K14" s="4" t="s">
        <v>37</v>
      </c>
      <c r="L14" s="4" t="s">
        <v>37</v>
      </c>
      <c r="M14" s="4" t="s">
        <v>39</v>
      </c>
      <c r="N14" s="5">
        <v>50</v>
      </c>
      <c r="O14" s="4">
        <f t="shared" si="0"/>
        <v>160</v>
      </c>
      <c r="P14" s="4">
        <f>O14-(O14*$T$5)+N14</f>
        <v>194</v>
      </c>
      <c r="Q14" s="4">
        <f t="shared" si="1"/>
        <v>30052.54</v>
      </c>
    </row>
    <row r="15" spans="1:20" x14ac:dyDescent="0.25">
      <c r="A15" s="2">
        <v>56559</v>
      </c>
      <c r="B15" t="s">
        <v>147</v>
      </c>
      <c r="C15" t="s">
        <v>13</v>
      </c>
      <c r="D15" s="3">
        <v>26</v>
      </c>
      <c r="E15" t="s">
        <v>28</v>
      </c>
      <c r="F15" t="s">
        <v>202</v>
      </c>
      <c r="G15" t="s">
        <v>140</v>
      </c>
      <c r="H15" t="s">
        <v>33</v>
      </c>
      <c r="I15" s="3" t="s">
        <v>37</v>
      </c>
      <c r="J15" s="4">
        <v>53.33</v>
      </c>
      <c r="K15" s="4">
        <v>53.33</v>
      </c>
      <c r="L15" s="4" t="s">
        <v>37</v>
      </c>
      <c r="M15" s="4" t="s">
        <v>39</v>
      </c>
      <c r="N15" s="5">
        <v>50</v>
      </c>
      <c r="O15" s="4">
        <f t="shared" si="0"/>
        <v>106.66</v>
      </c>
      <c r="P15" s="4">
        <f>O15+(O15*$T$4)+N15</f>
        <v>172.65899999999999</v>
      </c>
      <c r="Q15" s="4">
        <f t="shared" si="1"/>
        <v>26746.605689999997</v>
      </c>
    </row>
    <row r="16" spans="1:20" x14ac:dyDescent="0.25">
      <c r="A16" s="2">
        <v>45565</v>
      </c>
      <c r="B16" t="s">
        <v>146</v>
      </c>
      <c r="C16" t="s">
        <v>23</v>
      </c>
      <c r="D16" s="3">
        <v>32</v>
      </c>
      <c r="E16" t="s">
        <v>29</v>
      </c>
      <c r="F16" t="s">
        <v>203</v>
      </c>
      <c r="G16" t="s">
        <v>141</v>
      </c>
      <c r="H16" t="s">
        <v>33</v>
      </c>
      <c r="I16" s="4" t="s">
        <v>37</v>
      </c>
      <c r="J16" s="4">
        <v>53.33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0"/>
        <v>53.33</v>
      </c>
      <c r="P16" s="4">
        <f>O16+(O16*$T$4)+N16</f>
        <v>111.3295</v>
      </c>
      <c r="Q16" s="4">
        <f t="shared" si="1"/>
        <v>17246.052844999998</v>
      </c>
    </row>
    <row r="17" spans="1:20" x14ac:dyDescent="0.25">
      <c r="A17" s="2">
        <v>31243</v>
      </c>
      <c r="B17" t="s">
        <v>145</v>
      </c>
      <c r="C17" t="s">
        <v>21</v>
      </c>
      <c r="D17" s="3">
        <v>38</v>
      </c>
      <c r="E17" t="s">
        <v>29</v>
      </c>
      <c r="F17" t="s">
        <v>204</v>
      </c>
      <c r="G17" t="s">
        <v>142</v>
      </c>
      <c r="H17" t="s">
        <v>33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 t="shared" si="0"/>
        <v>0</v>
      </c>
      <c r="P17" s="4">
        <f>O17+(O17*$T$4)+N17</f>
        <v>50</v>
      </c>
      <c r="Q17" s="4">
        <f t="shared" si="1"/>
        <v>7745.5</v>
      </c>
    </row>
    <row r="18" spans="1:20" x14ac:dyDescent="0.25">
      <c r="A18" s="2">
        <v>35568</v>
      </c>
      <c r="B18" t="s">
        <v>144</v>
      </c>
      <c r="C18" t="s">
        <v>24</v>
      </c>
      <c r="D18" s="3">
        <v>28</v>
      </c>
      <c r="E18" t="s">
        <v>28</v>
      </c>
      <c r="F18" t="s">
        <v>205</v>
      </c>
      <c r="G18" t="s">
        <v>143</v>
      </c>
      <c r="H18" t="s">
        <v>33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39</v>
      </c>
      <c r="N18" s="5">
        <v>50</v>
      </c>
      <c r="O18" s="4">
        <f t="shared" si="0"/>
        <v>0</v>
      </c>
      <c r="P18" s="4">
        <f>O18+(O18*$T$4)+N18</f>
        <v>50</v>
      </c>
      <c r="Q18" s="4">
        <f t="shared" si="1"/>
        <v>7745.5</v>
      </c>
    </row>
    <row r="21" spans="1:20" x14ac:dyDescent="0.25">
      <c r="A21" s="6" t="s">
        <v>48</v>
      </c>
      <c r="C21">
        <f>COUNT(A4:A19)</f>
        <v>15</v>
      </c>
      <c r="O21" s="1" t="s">
        <v>46</v>
      </c>
      <c r="P21" s="8">
        <f>SUM(P4:P19)</f>
        <v>3192.636</v>
      </c>
      <c r="Q21" s="8">
        <f>SUM(Q4:Q19)</f>
        <v>494571.24275999994</v>
      </c>
    </row>
    <row r="22" spans="1:20" x14ac:dyDescent="0.25">
      <c r="A22" s="6" t="s">
        <v>47</v>
      </c>
      <c r="C22" s="8">
        <f>SUM(O4:O19)</f>
        <v>1706.64</v>
      </c>
    </row>
    <row r="23" spans="1:20" x14ac:dyDescent="0.25">
      <c r="A23" s="6" t="s">
        <v>49</v>
      </c>
      <c r="C23" s="8">
        <f>SUMIF(N4:N19,"=150")</f>
        <v>1200</v>
      </c>
    </row>
    <row r="24" spans="1:20" x14ac:dyDescent="0.25">
      <c r="A24" s="6" t="s">
        <v>50</v>
      </c>
      <c r="C24" s="8">
        <f>SUM(P4:P19)</f>
        <v>3192.636</v>
      </c>
    </row>
    <row r="26" spans="1:20" ht="28.5" x14ac:dyDescent="0.45">
      <c r="A26" s="11" t="s">
        <v>51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5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pans="1:20" x14ac:dyDescent="0.25">
      <c r="A28" t="s">
        <v>59</v>
      </c>
      <c r="B28" s="4">
        <v>60</v>
      </c>
      <c r="C28" s="3" t="s">
        <v>37</v>
      </c>
      <c r="D28" s="9">
        <v>0.15</v>
      </c>
      <c r="E28" s="4">
        <f>B28</f>
        <v>60</v>
      </c>
      <c r="F28" s="4">
        <f>PRODUCT(E28*$C$21)</f>
        <v>900</v>
      </c>
    </row>
    <row r="29" spans="1:20" x14ac:dyDescent="0.25">
      <c r="A29" t="s">
        <v>60</v>
      </c>
      <c r="B29" s="4">
        <v>40</v>
      </c>
      <c r="C29" s="3" t="s">
        <v>37</v>
      </c>
      <c r="D29" s="9">
        <v>0.15</v>
      </c>
      <c r="E29" s="4">
        <f t="shared" ref="E29" si="2">B29</f>
        <v>40</v>
      </c>
      <c r="F29" s="4">
        <f t="shared" ref="F29:F31" si="3">PRODUCT(E29*$C$21)</f>
        <v>600</v>
      </c>
    </row>
    <row r="30" spans="1:20" x14ac:dyDescent="0.25">
      <c r="A30" t="s">
        <v>61</v>
      </c>
      <c r="B30" s="4">
        <v>135</v>
      </c>
      <c r="C30" s="3" t="s">
        <v>37</v>
      </c>
      <c r="D30" s="9">
        <v>0.12</v>
      </c>
      <c r="E30" s="4">
        <f>B30</f>
        <v>135</v>
      </c>
      <c r="F30" s="4">
        <f t="shared" si="3"/>
        <v>2025</v>
      </c>
    </row>
    <row r="31" spans="1:20" x14ac:dyDescent="0.25">
      <c r="A31" t="s">
        <v>62</v>
      </c>
      <c r="B31" s="4">
        <v>95</v>
      </c>
      <c r="C31" s="3" t="s">
        <v>37</v>
      </c>
      <c r="D31" s="9">
        <v>0.08</v>
      </c>
      <c r="E31" s="4">
        <f>B31</f>
        <v>95</v>
      </c>
      <c r="F31" s="4">
        <f t="shared" si="3"/>
        <v>1425</v>
      </c>
    </row>
    <row r="32" spans="1:20" x14ac:dyDescent="0.25">
      <c r="A32" t="s">
        <v>63</v>
      </c>
      <c r="B32" s="4" t="s">
        <v>37</v>
      </c>
      <c r="C32" s="4">
        <v>3000</v>
      </c>
      <c r="D32" s="3" t="s">
        <v>37</v>
      </c>
      <c r="E32" s="4">
        <f>C32/5</f>
        <v>600</v>
      </c>
      <c r="F32" s="4">
        <f t="shared" ref="F32:F36" si="4">PRODUCT(E32,15)</f>
        <v>9000</v>
      </c>
    </row>
    <row r="33" spans="1:6" x14ac:dyDescent="0.25">
      <c r="A33" t="s">
        <v>64</v>
      </c>
      <c r="B33" s="4" t="s">
        <v>37</v>
      </c>
      <c r="C33" s="4">
        <v>2500</v>
      </c>
      <c r="D33" s="3" t="s">
        <v>37</v>
      </c>
      <c r="E33" s="4">
        <f t="shared" ref="E33:E36" si="5">C33/5</f>
        <v>500</v>
      </c>
      <c r="F33" s="4">
        <f t="shared" si="4"/>
        <v>7500</v>
      </c>
    </row>
    <row r="34" spans="1:6" x14ac:dyDescent="0.25">
      <c r="A34" t="s">
        <v>65</v>
      </c>
      <c r="B34" s="4" t="s">
        <v>37</v>
      </c>
      <c r="C34" s="4">
        <v>4000</v>
      </c>
      <c r="D34" s="3" t="s">
        <v>37</v>
      </c>
      <c r="E34" s="4">
        <f t="shared" si="5"/>
        <v>800</v>
      </c>
      <c r="F34" s="4">
        <f t="shared" si="4"/>
        <v>12000</v>
      </c>
    </row>
    <row r="35" spans="1:6" x14ac:dyDescent="0.25">
      <c r="A35" t="s">
        <v>66</v>
      </c>
      <c r="B35" s="4" t="s">
        <v>37</v>
      </c>
      <c r="C35" s="4">
        <v>1800</v>
      </c>
      <c r="D35" s="3" t="s">
        <v>37</v>
      </c>
      <c r="E35" s="4">
        <f t="shared" si="5"/>
        <v>360</v>
      </c>
      <c r="F35" s="4">
        <f t="shared" si="4"/>
        <v>5400</v>
      </c>
    </row>
    <row r="36" spans="1:6" x14ac:dyDescent="0.25">
      <c r="A36" t="s">
        <v>67</v>
      </c>
      <c r="B36" s="4" t="s">
        <v>37</v>
      </c>
      <c r="C36" s="4">
        <v>5000</v>
      </c>
      <c r="D36" s="3" t="s">
        <v>37</v>
      </c>
      <c r="E36" s="4">
        <f t="shared" si="5"/>
        <v>1000</v>
      </c>
      <c r="F36" s="4">
        <f t="shared" si="4"/>
        <v>15000</v>
      </c>
    </row>
    <row r="38" spans="1:6" x14ac:dyDescent="0.25">
      <c r="E38" s="1" t="s">
        <v>58</v>
      </c>
      <c r="F38" s="4">
        <f>SUM(F28:F36)</f>
        <v>53850</v>
      </c>
    </row>
    <row r="40" spans="1:6" x14ac:dyDescent="0.25">
      <c r="A40" s="1" t="s">
        <v>116</v>
      </c>
      <c r="B40" s="1" t="s">
        <v>117</v>
      </c>
      <c r="C40" s="1" t="s">
        <v>58</v>
      </c>
    </row>
    <row r="41" spans="1:6" x14ac:dyDescent="0.25">
      <c r="A41" t="s">
        <v>118</v>
      </c>
      <c r="B41" s="8">
        <f>Q21</f>
        <v>494571.24275999994</v>
      </c>
      <c r="C41" s="8">
        <f>F38</f>
        <v>53850</v>
      </c>
    </row>
    <row r="42" spans="1:6" x14ac:dyDescent="0.25">
      <c r="A42" t="s">
        <v>122</v>
      </c>
      <c r="B42" s="8">
        <f>'Xod-Us'!Q21</f>
        <v>587258.46560499992</v>
      </c>
      <c r="C42" s="8">
        <f>'Xod-Us'!F38</f>
        <v>54183</v>
      </c>
    </row>
    <row r="43" spans="1:6" x14ac:dyDescent="0.25">
      <c r="A43" t="s">
        <v>123</v>
      </c>
      <c r="B43" s="8">
        <f>'JamCarn X'!Q20</f>
        <v>816988.52395999979</v>
      </c>
      <c r="C43" s="8">
        <f>'JamCarn X'!F37</f>
        <v>54912.36</v>
      </c>
    </row>
    <row r="44" spans="1:6" x14ac:dyDescent="0.25">
      <c r="A44" t="s">
        <v>120</v>
      </c>
      <c r="B44" s="8">
        <f>'Fant-X'!Q18</f>
        <v>849396.31559999997</v>
      </c>
      <c r="C44" s="8">
        <f>'Fant-X'!F35</f>
        <v>55754.155200000001</v>
      </c>
    </row>
    <row r="45" spans="1:6" x14ac:dyDescent="0.25">
      <c r="A45" t="s">
        <v>119</v>
      </c>
      <c r="B45" s="8">
        <f>DreamX!Q18</f>
        <v>1018096.4038000001</v>
      </c>
      <c r="C45" s="8">
        <f>DreamX!F35</f>
        <v>56727.326784000004</v>
      </c>
    </row>
  </sheetData>
  <sortState xmlns:xlrd2="http://schemas.microsoft.com/office/spreadsheetml/2017/richdata2" ref="A1:Q18">
    <sortCondition descending="1" ref="P2"/>
  </sortState>
  <mergeCells count="4">
    <mergeCell ref="A26:T26"/>
    <mergeCell ref="M2:N2"/>
    <mergeCell ref="J2:L2"/>
    <mergeCell ref="A1:P1"/>
  </mergeCells>
  <phoneticPr fontId="4" type="noConversion"/>
  <pageMargins left="0.7" right="0.7" top="0.75" bottom="0.75" header="0.3" footer="0.3"/>
  <pageSetup orientation="portrait" horizontalDpi="200" verticalDpi="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showFormulas="1" topLeftCell="H1" zoomScale="78" zoomScaleNormal="78" workbookViewId="0">
      <selection activeCell="Q13" sqref="Q13"/>
    </sheetView>
  </sheetViews>
  <sheetFormatPr defaultRowHeight="15" x14ac:dyDescent="0.25"/>
  <cols>
    <col min="1" max="1" width="16" customWidth="1"/>
    <col min="2" max="2" width="17.28515625" customWidth="1"/>
    <col min="3" max="3" width="17.71093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7" customWidth="1"/>
    <col min="16" max="16" width="26.5703125" customWidth="1"/>
    <col min="17" max="17" width="25.28515625" customWidth="1"/>
    <col min="18" max="18" width="19" customWidth="1"/>
    <col min="19" max="19" width="18.7109375" customWidth="1"/>
  </cols>
  <sheetData>
    <row r="1" spans="1:20" ht="28.5" x14ac:dyDescent="0.45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2" t="s">
        <v>7</v>
      </c>
      <c r="K2" s="12"/>
      <c r="L2" s="12"/>
      <c r="M2" s="12" t="s">
        <v>8</v>
      </c>
      <c r="N2" s="12"/>
      <c r="O2" s="1" t="s">
        <v>40</v>
      </c>
      <c r="P2" s="1" t="s">
        <v>41</v>
      </c>
      <c r="Q2" s="1" t="s">
        <v>9</v>
      </c>
    </row>
    <row r="3" spans="1:20" x14ac:dyDescent="0.25">
      <c r="A3" s="2">
        <v>62501</v>
      </c>
      <c r="B3" t="s">
        <v>160</v>
      </c>
      <c r="C3" t="s">
        <v>19</v>
      </c>
      <c r="D3" s="3">
        <v>19</v>
      </c>
      <c r="E3" t="s">
        <v>29</v>
      </c>
      <c r="F3" t="s">
        <v>81</v>
      </c>
      <c r="G3" t="s">
        <v>174</v>
      </c>
      <c r="H3" t="s">
        <v>33</v>
      </c>
      <c r="I3" s="4" t="s">
        <v>37</v>
      </c>
      <c r="J3" s="4">
        <v>73.33</v>
      </c>
      <c r="K3" s="4">
        <v>73.33</v>
      </c>
      <c r="L3" s="4">
        <v>73.33</v>
      </c>
      <c r="M3" s="4" t="s">
        <v>38</v>
      </c>
      <c r="N3" s="5">
        <v>150</v>
      </c>
      <c r="O3" s="4">
        <f>SUM(I3:L3)</f>
        <v>219.99</v>
      </c>
      <c r="P3" s="4">
        <f>O3+(O3*$T$4)+N3</f>
        <v>402.98850000000004</v>
      </c>
      <c r="Q3" s="4">
        <f t="shared" ref="Q3:Q18" si="0">P3*$T$6</f>
        <v>62426.948535000003</v>
      </c>
    </row>
    <row r="4" spans="1:20" x14ac:dyDescent="0.25">
      <c r="A4" s="2">
        <v>75248</v>
      </c>
      <c r="B4" t="s">
        <v>161</v>
      </c>
      <c r="C4" t="s">
        <v>113</v>
      </c>
      <c r="D4" s="3">
        <v>33</v>
      </c>
      <c r="E4" t="s">
        <v>29</v>
      </c>
      <c r="F4" t="s">
        <v>114</v>
      </c>
      <c r="G4" s="2" t="s">
        <v>175</v>
      </c>
      <c r="H4" t="s">
        <v>33</v>
      </c>
      <c r="I4" s="4" t="s">
        <v>37</v>
      </c>
      <c r="J4" s="4">
        <v>73.33</v>
      </c>
      <c r="K4" s="4">
        <v>73.33</v>
      </c>
      <c r="L4" s="4">
        <v>73.33</v>
      </c>
      <c r="M4" s="4" t="s">
        <v>38</v>
      </c>
      <c r="N4" s="5">
        <v>150</v>
      </c>
      <c r="O4" s="4">
        <f>SUM(I4:L4)</f>
        <v>219.99</v>
      </c>
      <c r="P4" s="4">
        <f>O4+(O4*$T$4)+N4</f>
        <v>402.98850000000004</v>
      </c>
      <c r="Q4" s="4">
        <f t="shared" si="0"/>
        <v>62426.948535000003</v>
      </c>
      <c r="S4" s="6" t="s">
        <v>42</v>
      </c>
      <c r="T4" s="7">
        <v>0.15</v>
      </c>
    </row>
    <row r="5" spans="1:20" x14ac:dyDescent="0.25">
      <c r="A5" s="2">
        <v>83947</v>
      </c>
      <c r="B5" t="s">
        <v>162</v>
      </c>
      <c r="C5" t="s">
        <v>15</v>
      </c>
      <c r="D5" s="3">
        <v>24</v>
      </c>
      <c r="E5" t="s">
        <v>28</v>
      </c>
      <c r="F5" t="s">
        <v>76</v>
      </c>
      <c r="G5" t="s">
        <v>176</v>
      </c>
      <c r="H5" t="s">
        <v>35</v>
      </c>
      <c r="I5" s="4">
        <v>220</v>
      </c>
      <c r="J5" s="4" t="s">
        <v>37</v>
      </c>
      <c r="K5" s="4" t="s">
        <v>37</v>
      </c>
      <c r="L5" s="4" t="s">
        <v>37</v>
      </c>
      <c r="M5" s="4" t="s">
        <v>38</v>
      </c>
      <c r="N5" s="5">
        <v>150</v>
      </c>
      <c r="O5" s="4">
        <f t="shared" ref="O5:O18" si="1">SUM(I5:L5)</f>
        <v>220</v>
      </c>
      <c r="P5" s="4">
        <f>O5-(O5*$T$5)+N5</f>
        <v>348</v>
      </c>
      <c r="Q5" s="4">
        <f t="shared" si="0"/>
        <v>53908.68</v>
      </c>
      <c r="S5" s="6" t="s">
        <v>43</v>
      </c>
      <c r="T5" s="7">
        <v>0.1</v>
      </c>
    </row>
    <row r="6" spans="1:20" x14ac:dyDescent="0.25">
      <c r="A6" s="2">
        <v>58024</v>
      </c>
      <c r="B6" t="s">
        <v>163</v>
      </c>
      <c r="C6" t="s">
        <v>20</v>
      </c>
      <c r="D6" s="3">
        <v>39</v>
      </c>
      <c r="E6" t="s">
        <v>29</v>
      </c>
      <c r="F6" t="s">
        <v>85</v>
      </c>
      <c r="G6" s="2" t="s">
        <v>177</v>
      </c>
      <c r="H6" t="s">
        <v>35</v>
      </c>
      <c r="I6" s="4">
        <v>220</v>
      </c>
      <c r="J6" s="4" t="s">
        <v>37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1"/>
        <v>220</v>
      </c>
      <c r="P6" s="4">
        <f>O6-(O6*$T$5)+N6</f>
        <v>348</v>
      </c>
      <c r="Q6" s="4">
        <f t="shared" si="0"/>
        <v>53908.68</v>
      </c>
      <c r="S6" s="6" t="s">
        <v>44</v>
      </c>
      <c r="T6" s="8">
        <v>154.91</v>
      </c>
    </row>
    <row r="7" spans="1:20" x14ac:dyDescent="0.25">
      <c r="A7" s="2">
        <v>72035</v>
      </c>
      <c r="B7" t="s">
        <v>164</v>
      </c>
      <c r="C7" t="s">
        <v>74</v>
      </c>
      <c r="D7" s="3">
        <v>47</v>
      </c>
      <c r="E7" t="s">
        <v>29</v>
      </c>
      <c r="F7" t="s">
        <v>89</v>
      </c>
      <c r="G7" s="2" t="s">
        <v>178</v>
      </c>
      <c r="H7" t="s">
        <v>35</v>
      </c>
      <c r="I7" s="4">
        <v>220</v>
      </c>
      <c r="J7" s="4" t="s">
        <v>37</v>
      </c>
      <c r="K7" s="4" t="s">
        <v>37</v>
      </c>
      <c r="L7" s="4" t="s">
        <v>37</v>
      </c>
      <c r="M7" s="4" t="s">
        <v>38</v>
      </c>
      <c r="N7" s="5">
        <v>150</v>
      </c>
      <c r="O7" s="4">
        <f t="shared" si="1"/>
        <v>220</v>
      </c>
      <c r="P7" s="4">
        <f>O7-(O7*$T$5)+N7</f>
        <v>348</v>
      </c>
      <c r="Q7" s="4">
        <f t="shared" si="0"/>
        <v>53908.68</v>
      </c>
    </row>
    <row r="8" spans="1:20" x14ac:dyDescent="0.25">
      <c r="A8" s="2">
        <v>34872</v>
      </c>
      <c r="B8" t="s">
        <v>165</v>
      </c>
      <c r="C8" t="s">
        <v>17</v>
      </c>
      <c r="D8" s="3">
        <v>36</v>
      </c>
      <c r="E8" t="s">
        <v>28</v>
      </c>
      <c r="F8" t="s">
        <v>80</v>
      </c>
      <c r="G8" t="s">
        <v>179</v>
      </c>
      <c r="H8" t="s">
        <v>33</v>
      </c>
      <c r="I8" s="4" t="s">
        <v>37</v>
      </c>
      <c r="J8" s="4">
        <v>73.33</v>
      </c>
      <c r="K8" s="4">
        <v>73.33</v>
      </c>
      <c r="L8" s="4" t="s">
        <v>37</v>
      </c>
      <c r="M8" s="4" t="s">
        <v>38</v>
      </c>
      <c r="N8" s="5">
        <v>150</v>
      </c>
      <c r="O8" s="4">
        <f t="shared" si="1"/>
        <v>146.66</v>
      </c>
      <c r="P8" s="4">
        <f>O8+(O8*$T$4)+N8</f>
        <v>318.65899999999999</v>
      </c>
      <c r="Q8" s="4">
        <f t="shared" si="0"/>
        <v>49363.465689999997</v>
      </c>
    </row>
    <row r="9" spans="1:20" x14ac:dyDescent="0.25">
      <c r="A9" s="2">
        <v>20483</v>
      </c>
      <c r="B9" t="s">
        <v>166</v>
      </c>
      <c r="C9" t="s">
        <v>69</v>
      </c>
      <c r="D9" s="3">
        <v>18</v>
      </c>
      <c r="E9" t="s">
        <v>28</v>
      </c>
      <c r="F9" t="s">
        <v>78</v>
      </c>
      <c r="G9" t="s">
        <v>180</v>
      </c>
      <c r="H9" t="s">
        <v>35</v>
      </c>
      <c r="I9" s="4">
        <v>220</v>
      </c>
      <c r="J9" s="4" t="s">
        <v>37</v>
      </c>
      <c r="K9" s="4" t="s">
        <v>37</v>
      </c>
      <c r="L9" s="4" t="s">
        <v>37</v>
      </c>
      <c r="M9" s="4" t="s">
        <v>39</v>
      </c>
      <c r="N9" s="5">
        <v>50</v>
      </c>
      <c r="O9" s="4">
        <f t="shared" si="1"/>
        <v>220</v>
      </c>
      <c r="P9" s="4">
        <f t="shared" ref="P9:P14" si="2">O9-(O9*$T$5)+N9</f>
        <v>248</v>
      </c>
      <c r="Q9" s="4">
        <f t="shared" si="0"/>
        <v>38417.68</v>
      </c>
    </row>
    <row r="10" spans="1:20" x14ac:dyDescent="0.25">
      <c r="A10" s="2">
        <v>69154</v>
      </c>
      <c r="B10" t="s">
        <v>167</v>
      </c>
      <c r="C10" t="s">
        <v>18</v>
      </c>
      <c r="D10" s="3">
        <v>41</v>
      </c>
      <c r="E10" t="s">
        <v>29</v>
      </c>
      <c r="F10" t="s">
        <v>79</v>
      </c>
      <c r="G10" t="s">
        <v>181</v>
      </c>
      <c r="H10" t="s">
        <v>35</v>
      </c>
      <c r="I10" s="4">
        <v>220</v>
      </c>
      <c r="J10" s="4" t="s">
        <v>37</v>
      </c>
      <c r="K10" s="4" t="s">
        <v>37</v>
      </c>
      <c r="L10" s="4" t="s">
        <v>37</v>
      </c>
      <c r="M10" s="4" t="s">
        <v>39</v>
      </c>
      <c r="N10" s="5">
        <v>50</v>
      </c>
      <c r="O10" s="4">
        <f t="shared" si="1"/>
        <v>220</v>
      </c>
      <c r="P10" s="4">
        <f t="shared" si="2"/>
        <v>248</v>
      </c>
      <c r="Q10" s="4">
        <f t="shared" si="0"/>
        <v>38417.68</v>
      </c>
    </row>
    <row r="11" spans="1:20" x14ac:dyDescent="0.25">
      <c r="A11" s="2">
        <v>13695</v>
      </c>
      <c r="B11" t="s">
        <v>168</v>
      </c>
      <c r="C11" t="s">
        <v>71</v>
      </c>
      <c r="D11" s="3">
        <v>22</v>
      </c>
      <c r="E11" t="s">
        <v>28</v>
      </c>
      <c r="F11" t="s">
        <v>84</v>
      </c>
      <c r="G11" s="2" t="s">
        <v>182</v>
      </c>
      <c r="H11" t="s">
        <v>35</v>
      </c>
      <c r="I11" s="4">
        <v>220</v>
      </c>
      <c r="J11" s="4" t="s">
        <v>37</v>
      </c>
      <c r="K11" s="4" t="s">
        <v>37</v>
      </c>
      <c r="L11" s="4" t="s">
        <v>37</v>
      </c>
      <c r="M11" s="4" t="s">
        <v>39</v>
      </c>
      <c r="N11" s="5">
        <v>50</v>
      </c>
      <c r="O11" s="4">
        <f t="shared" si="1"/>
        <v>220</v>
      </c>
      <c r="P11" s="4">
        <f t="shared" si="2"/>
        <v>248</v>
      </c>
      <c r="Q11" s="4">
        <f t="shared" si="0"/>
        <v>38417.68</v>
      </c>
    </row>
    <row r="12" spans="1:20" x14ac:dyDescent="0.25">
      <c r="A12" s="2">
        <v>76391</v>
      </c>
      <c r="B12" t="s">
        <v>68</v>
      </c>
      <c r="C12" t="s">
        <v>22</v>
      </c>
      <c r="D12" s="3">
        <v>17</v>
      </c>
      <c r="E12" t="s">
        <v>28</v>
      </c>
      <c r="F12" t="s">
        <v>86</v>
      </c>
      <c r="G12" s="2" t="s">
        <v>183</v>
      </c>
      <c r="H12" t="s">
        <v>35</v>
      </c>
      <c r="I12" s="4">
        <v>220</v>
      </c>
      <c r="J12" s="4" t="s">
        <v>37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1"/>
        <v>220</v>
      </c>
      <c r="P12" s="4">
        <f t="shared" si="2"/>
        <v>248</v>
      </c>
      <c r="Q12" s="4">
        <f t="shared" si="0"/>
        <v>38417.68</v>
      </c>
    </row>
    <row r="13" spans="1:20" x14ac:dyDescent="0.25">
      <c r="A13" s="2">
        <v>50467</v>
      </c>
      <c r="B13" t="s">
        <v>169</v>
      </c>
      <c r="C13" t="s">
        <v>73</v>
      </c>
      <c r="D13" s="3">
        <v>26</v>
      </c>
      <c r="E13" t="s">
        <v>28</v>
      </c>
      <c r="F13" t="s">
        <v>88</v>
      </c>
      <c r="G13" s="2" t="s">
        <v>184</v>
      </c>
      <c r="H13" t="s">
        <v>35</v>
      </c>
      <c r="I13" s="4">
        <v>220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1"/>
        <v>220</v>
      </c>
      <c r="P13" s="4">
        <f t="shared" si="2"/>
        <v>248</v>
      </c>
      <c r="Q13" s="4">
        <f t="shared" si="0"/>
        <v>38417.68</v>
      </c>
    </row>
    <row r="14" spans="1:20" x14ac:dyDescent="0.25">
      <c r="A14" s="2">
        <v>91602</v>
      </c>
      <c r="B14" t="s">
        <v>94</v>
      </c>
      <c r="C14" t="s">
        <v>75</v>
      </c>
      <c r="D14" s="3">
        <v>21</v>
      </c>
      <c r="E14" t="s">
        <v>28</v>
      </c>
      <c r="F14" t="s">
        <v>90</v>
      </c>
      <c r="G14" s="2" t="s">
        <v>185</v>
      </c>
      <c r="H14" t="s">
        <v>35</v>
      </c>
      <c r="I14" s="4">
        <v>220</v>
      </c>
      <c r="J14" s="4" t="s">
        <v>37</v>
      </c>
      <c r="K14" s="4" t="s">
        <v>37</v>
      </c>
      <c r="L14" s="4" t="s">
        <v>37</v>
      </c>
      <c r="M14" s="4" t="s">
        <v>39</v>
      </c>
      <c r="N14" s="5">
        <v>50</v>
      </c>
      <c r="O14" s="4">
        <f t="shared" si="1"/>
        <v>220</v>
      </c>
      <c r="P14" s="4">
        <f t="shared" si="2"/>
        <v>248</v>
      </c>
      <c r="Q14" s="4">
        <f t="shared" si="0"/>
        <v>38417.68</v>
      </c>
    </row>
    <row r="15" spans="1:20" x14ac:dyDescent="0.25">
      <c r="A15" s="2">
        <v>29847</v>
      </c>
      <c r="B15" t="s">
        <v>170</v>
      </c>
      <c r="C15" t="s">
        <v>72</v>
      </c>
      <c r="D15" s="3">
        <v>33</v>
      </c>
      <c r="E15" t="s">
        <v>29</v>
      </c>
      <c r="F15" t="s">
        <v>87</v>
      </c>
      <c r="G15" s="2" t="s">
        <v>186</v>
      </c>
      <c r="H15" t="s">
        <v>33</v>
      </c>
      <c r="I15" s="4" t="s">
        <v>37</v>
      </c>
      <c r="J15" s="4">
        <v>73.33</v>
      </c>
      <c r="K15" s="4">
        <v>73.33</v>
      </c>
      <c r="L15" s="4" t="s">
        <v>37</v>
      </c>
      <c r="M15" s="4" t="s">
        <v>39</v>
      </c>
      <c r="N15" s="5">
        <v>50</v>
      </c>
      <c r="O15" s="4">
        <f t="shared" si="1"/>
        <v>146.66</v>
      </c>
      <c r="P15" s="4">
        <f>O15+(O15*$T$4)+N15</f>
        <v>218.65899999999999</v>
      </c>
      <c r="Q15" s="4">
        <f t="shared" si="0"/>
        <v>33872.465689999997</v>
      </c>
    </row>
    <row r="16" spans="1:20" x14ac:dyDescent="0.25">
      <c r="A16" s="2">
        <v>57219</v>
      </c>
      <c r="B16" t="s">
        <v>171</v>
      </c>
      <c r="C16" t="s">
        <v>14</v>
      </c>
      <c r="D16" s="3">
        <v>31</v>
      </c>
      <c r="E16" t="s">
        <v>29</v>
      </c>
      <c r="F16" t="s">
        <v>77</v>
      </c>
      <c r="G16" t="s">
        <v>187</v>
      </c>
      <c r="H16" t="s">
        <v>33</v>
      </c>
      <c r="I16" s="3" t="s">
        <v>37</v>
      </c>
      <c r="J16" s="4">
        <v>73.33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1"/>
        <v>73.33</v>
      </c>
      <c r="P16" s="4">
        <f>O16+(O16*$T$4)+N16</f>
        <v>134.3295</v>
      </c>
      <c r="Q16" s="4">
        <f t="shared" si="0"/>
        <v>20808.982844999999</v>
      </c>
    </row>
    <row r="17" spans="1:20" x14ac:dyDescent="0.25">
      <c r="A17" s="2">
        <v>40258</v>
      </c>
      <c r="B17" t="s">
        <v>172</v>
      </c>
      <c r="C17" t="s">
        <v>25</v>
      </c>
      <c r="D17" s="3">
        <v>35</v>
      </c>
      <c r="E17" t="s">
        <v>29</v>
      </c>
      <c r="F17" t="s">
        <v>83</v>
      </c>
      <c r="G17" t="s">
        <v>188</v>
      </c>
      <c r="H17" t="s">
        <v>33</v>
      </c>
      <c r="I17" s="4" t="s">
        <v>37</v>
      </c>
      <c r="J17" s="4">
        <v>73.33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 t="shared" si="1"/>
        <v>73.33</v>
      </c>
      <c r="P17" s="4">
        <f>O17+(O17*$T$4)+N17</f>
        <v>134.3295</v>
      </c>
      <c r="Q17" s="4">
        <f t="shared" si="0"/>
        <v>20808.982844999999</v>
      </c>
    </row>
    <row r="18" spans="1:20" x14ac:dyDescent="0.25">
      <c r="A18" s="2">
        <v>91736</v>
      </c>
      <c r="B18" t="s">
        <v>173</v>
      </c>
      <c r="C18" t="s">
        <v>70</v>
      </c>
      <c r="D18" s="3">
        <v>28</v>
      </c>
      <c r="E18" t="s">
        <v>28</v>
      </c>
      <c r="F18" t="s">
        <v>82</v>
      </c>
      <c r="G18" t="s">
        <v>189</v>
      </c>
      <c r="H18" t="s">
        <v>33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39</v>
      </c>
      <c r="N18" s="5">
        <v>50</v>
      </c>
      <c r="O18" s="4">
        <f t="shared" si="1"/>
        <v>0</v>
      </c>
      <c r="P18" s="4">
        <f>O18+(O18*$T$4)+N18</f>
        <v>50</v>
      </c>
      <c r="Q18" s="4">
        <f t="shared" si="0"/>
        <v>7745.5</v>
      </c>
    </row>
    <row r="20" spans="1:20" x14ac:dyDescent="0.25">
      <c r="M20" s="4"/>
      <c r="N20" s="5"/>
      <c r="O20" s="4"/>
    </row>
    <row r="21" spans="1:20" x14ac:dyDescent="0.25">
      <c r="A21" s="6" t="s">
        <v>48</v>
      </c>
      <c r="C21">
        <f>COUNT(A4:A19)</f>
        <v>15</v>
      </c>
      <c r="O21" s="1" t="s">
        <v>46</v>
      </c>
      <c r="P21" s="8">
        <f>SUM(P4:P19)</f>
        <v>3790.9654999999998</v>
      </c>
      <c r="Q21" s="8">
        <f>SUM(Q4:Q19)</f>
        <v>587258.46560499992</v>
      </c>
    </row>
    <row r="22" spans="1:20" x14ac:dyDescent="0.25">
      <c r="A22" s="6" t="s">
        <v>47</v>
      </c>
      <c r="C22" s="8">
        <f>SUM(O4:O19)</f>
        <v>2639.97</v>
      </c>
    </row>
    <row r="23" spans="1:20" x14ac:dyDescent="0.25">
      <c r="A23" s="6" t="s">
        <v>49</v>
      </c>
      <c r="C23" s="8">
        <f>SUMIF(N4:N19,"=150")</f>
        <v>750</v>
      </c>
    </row>
    <row r="24" spans="1:20" x14ac:dyDescent="0.25">
      <c r="A24" s="6" t="s">
        <v>50</v>
      </c>
      <c r="C24" s="8">
        <f>SUM(P4:P19)</f>
        <v>3790.9654999999998</v>
      </c>
    </row>
    <row r="26" spans="1:20" ht="28.5" x14ac:dyDescent="0.45">
      <c r="A26" s="11" t="s">
        <v>51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5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pans="1:20" x14ac:dyDescent="0.25">
      <c r="A28" t="s">
        <v>59</v>
      </c>
      <c r="B28" s="4">
        <v>60</v>
      </c>
      <c r="C28" s="3" t="s">
        <v>37</v>
      </c>
      <c r="D28" s="9">
        <v>0.2</v>
      </c>
      <c r="E28" s="4">
        <f>(B28+(B28*D28))</f>
        <v>72</v>
      </c>
      <c r="F28" s="4">
        <f>PRODUCT(E28*$C$21)</f>
        <v>1080</v>
      </c>
    </row>
    <row r="29" spans="1:20" x14ac:dyDescent="0.25">
      <c r="A29" t="s">
        <v>60</v>
      </c>
      <c r="B29" s="4">
        <v>40</v>
      </c>
      <c r="C29" s="3" t="s">
        <v>37</v>
      </c>
      <c r="D29" s="9">
        <v>0.2</v>
      </c>
      <c r="E29" s="4">
        <f t="shared" ref="E29:E31" si="3">(B29+(B29*D29))</f>
        <v>48</v>
      </c>
      <c r="F29" s="4">
        <f>PRODUCT(E29*$C$21)</f>
        <v>720</v>
      </c>
    </row>
    <row r="30" spans="1:20" x14ac:dyDescent="0.25">
      <c r="A30" t="s">
        <v>61</v>
      </c>
      <c r="B30" s="4">
        <v>135</v>
      </c>
      <c r="C30" s="3" t="s">
        <v>37</v>
      </c>
      <c r="D30" s="9">
        <v>0.12</v>
      </c>
      <c r="E30" s="4">
        <f t="shared" si="3"/>
        <v>151.19999999999999</v>
      </c>
      <c r="F30" s="4">
        <f>PRODUCT(E30*$C$21)</f>
        <v>2268</v>
      </c>
    </row>
    <row r="31" spans="1:20" x14ac:dyDescent="0.25">
      <c r="A31" t="s">
        <v>62</v>
      </c>
      <c r="B31" s="4">
        <v>75</v>
      </c>
      <c r="C31" s="3" t="s">
        <v>37</v>
      </c>
      <c r="D31" s="9">
        <v>0.08</v>
      </c>
      <c r="E31" s="4">
        <f t="shared" si="3"/>
        <v>81</v>
      </c>
      <c r="F31" s="4">
        <f>PRODUCT(E31*$C$21)</f>
        <v>1215</v>
      </c>
    </row>
    <row r="32" spans="1:20" x14ac:dyDescent="0.25">
      <c r="A32" t="s">
        <v>63</v>
      </c>
      <c r="B32" s="4" t="s">
        <v>37</v>
      </c>
      <c r="C32" s="4">
        <v>3000</v>
      </c>
      <c r="D32" s="3" t="s">
        <v>37</v>
      </c>
      <c r="E32" s="4">
        <f>C32/5</f>
        <v>600</v>
      </c>
      <c r="F32" s="4">
        <f t="shared" ref="F32:F36" si="4">PRODUCT(E32,15)</f>
        <v>9000</v>
      </c>
    </row>
    <row r="33" spans="1:6" x14ac:dyDescent="0.25">
      <c r="A33" t="s">
        <v>64</v>
      </c>
      <c r="B33" s="4" t="s">
        <v>37</v>
      </c>
      <c r="C33" s="4">
        <v>2500</v>
      </c>
      <c r="D33" s="3" t="s">
        <v>37</v>
      </c>
      <c r="E33" s="4">
        <f t="shared" ref="E33:E36" si="5">C33/5</f>
        <v>500</v>
      </c>
      <c r="F33" s="4">
        <f t="shared" si="4"/>
        <v>7500</v>
      </c>
    </row>
    <row r="34" spans="1:6" x14ac:dyDescent="0.25">
      <c r="A34" t="s">
        <v>65</v>
      </c>
      <c r="B34" s="4" t="s">
        <v>37</v>
      </c>
      <c r="C34" s="4">
        <v>4000</v>
      </c>
      <c r="D34" s="3" t="s">
        <v>37</v>
      </c>
      <c r="E34" s="4">
        <f t="shared" si="5"/>
        <v>800</v>
      </c>
      <c r="F34" s="4">
        <f t="shared" si="4"/>
        <v>12000</v>
      </c>
    </row>
    <row r="35" spans="1:6" x14ac:dyDescent="0.25">
      <c r="A35" t="s">
        <v>66</v>
      </c>
      <c r="B35" s="4" t="s">
        <v>37</v>
      </c>
      <c r="C35" s="4">
        <v>1800</v>
      </c>
      <c r="D35" s="3" t="s">
        <v>37</v>
      </c>
      <c r="E35" s="4">
        <f t="shared" si="5"/>
        <v>360</v>
      </c>
      <c r="F35" s="4">
        <f t="shared" si="4"/>
        <v>5400</v>
      </c>
    </row>
    <row r="36" spans="1:6" x14ac:dyDescent="0.25">
      <c r="A36" t="s">
        <v>67</v>
      </c>
      <c r="B36" s="4" t="s">
        <v>37</v>
      </c>
      <c r="C36" s="4">
        <v>5000</v>
      </c>
      <c r="D36" s="3" t="s">
        <v>37</v>
      </c>
      <c r="E36" s="4">
        <f t="shared" si="5"/>
        <v>1000</v>
      </c>
      <c r="F36" s="4">
        <f t="shared" si="4"/>
        <v>15000</v>
      </c>
    </row>
    <row r="38" spans="1:6" x14ac:dyDescent="0.25">
      <c r="E38" s="1" t="s">
        <v>58</v>
      </c>
      <c r="F38" s="4">
        <f>SUM(F28:F36)</f>
        <v>54183</v>
      </c>
    </row>
    <row r="40" spans="1:6" x14ac:dyDescent="0.25">
      <c r="A40" s="1" t="s">
        <v>116</v>
      </c>
      <c r="B40" s="1" t="s">
        <v>117</v>
      </c>
      <c r="C40" s="1" t="s">
        <v>58</v>
      </c>
    </row>
    <row r="41" spans="1:6" x14ac:dyDescent="0.25">
      <c r="A41" t="s">
        <v>122</v>
      </c>
      <c r="B41" s="8">
        <f>Q21</f>
        <v>587258.46560499992</v>
      </c>
      <c r="C41" s="8">
        <f>F38</f>
        <v>54183</v>
      </c>
    </row>
    <row r="42" spans="1:6" x14ac:dyDescent="0.25">
      <c r="A42" t="s">
        <v>118</v>
      </c>
      <c r="B42" s="8">
        <f>BacchaX!Q21</f>
        <v>494571.24275999994</v>
      </c>
      <c r="C42" s="8">
        <f>BacchaX!F38</f>
        <v>53850</v>
      </c>
    </row>
    <row r="43" spans="1:6" x14ac:dyDescent="0.25">
      <c r="A43" t="s">
        <v>121</v>
      </c>
      <c r="B43" s="8">
        <f>'JamCarn X'!Q20</f>
        <v>816988.52395999979</v>
      </c>
      <c r="C43" s="8">
        <f>'JamCarn X'!F37</f>
        <v>54912.36</v>
      </c>
    </row>
    <row r="44" spans="1:6" x14ac:dyDescent="0.25">
      <c r="A44" t="s">
        <v>120</v>
      </c>
      <c r="B44" s="8">
        <f>'Fant-X'!Q18</f>
        <v>849396.31559999997</v>
      </c>
      <c r="C44" s="8">
        <f>'Fant-X'!F35</f>
        <v>55754.155200000001</v>
      </c>
    </row>
    <row r="45" spans="1:6" x14ac:dyDescent="0.25">
      <c r="A45" t="s">
        <v>119</v>
      </c>
      <c r="B45" s="8">
        <f>DreamX!Q18</f>
        <v>1018096.4038000001</v>
      </c>
      <c r="C45" s="8">
        <f>DreamX!F35</f>
        <v>56727.326784000004</v>
      </c>
    </row>
  </sheetData>
  <sortState xmlns:xlrd2="http://schemas.microsoft.com/office/spreadsheetml/2017/richdata2" ref="A1:Q18">
    <sortCondition descending="1" ref="P3"/>
  </sortState>
  <mergeCells count="4">
    <mergeCell ref="M2:N2"/>
    <mergeCell ref="J2:L2"/>
    <mergeCell ref="A26:T26"/>
    <mergeCell ref="A1:M1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showFormulas="1" zoomScale="64" zoomScaleNormal="64" workbookViewId="0">
      <selection activeCell="G18" sqref="G18"/>
    </sheetView>
  </sheetViews>
  <sheetFormatPr defaultRowHeight="15" x14ac:dyDescent="0.25"/>
  <cols>
    <col min="1" max="1" width="14.5703125" customWidth="1"/>
    <col min="2" max="2" width="17.28515625" customWidth="1"/>
    <col min="3" max="3" width="18.71093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2" t="s">
        <v>7</v>
      </c>
      <c r="K2" s="12"/>
      <c r="L2" s="12"/>
      <c r="M2" s="12" t="s">
        <v>8</v>
      </c>
      <c r="N2" s="12"/>
      <c r="O2" s="1" t="s">
        <v>40</v>
      </c>
      <c r="P2" s="1" t="s">
        <v>41</v>
      </c>
      <c r="Q2" s="1" t="s">
        <v>9</v>
      </c>
    </row>
    <row r="3" spans="1:20" x14ac:dyDescent="0.25">
      <c r="A3" s="2">
        <v>54261</v>
      </c>
      <c r="B3" t="s">
        <v>93</v>
      </c>
      <c r="C3" t="s">
        <v>301</v>
      </c>
      <c r="D3" s="3">
        <v>45</v>
      </c>
      <c r="E3" t="s">
        <v>29</v>
      </c>
      <c r="F3" t="s">
        <v>316</v>
      </c>
      <c r="G3" t="s">
        <v>331</v>
      </c>
      <c r="H3" t="s">
        <v>35</v>
      </c>
      <c r="I3" s="4">
        <v>280</v>
      </c>
      <c r="J3" s="4" t="s">
        <v>37</v>
      </c>
      <c r="K3" s="4" t="s">
        <v>37</v>
      </c>
      <c r="L3" s="4" t="s">
        <v>37</v>
      </c>
      <c r="M3" s="4" t="s">
        <v>38</v>
      </c>
      <c r="N3" s="5">
        <v>150</v>
      </c>
      <c r="O3" s="4">
        <f>SUM(I3:L3)</f>
        <v>280</v>
      </c>
      <c r="P3" s="4">
        <f>O3-(O3*$T$4)+N3</f>
        <v>388</v>
      </c>
      <c r="Q3" s="4">
        <f>P3*$T$5</f>
        <v>60105.08</v>
      </c>
      <c r="S3" s="6" t="s">
        <v>42</v>
      </c>
      <c r="T3" s="7">
        <v>0.1</v>
      </c>
    </row>
    <row r="4" spans="1:20" x14ac:dyDescent="0.25">
      <c r="A4" s="2">
        <v>52312</v>
      </c>
      <c r="B4" t="s">
        <v>14</v>
      </c>
      <c r="C4" t="s">
        <v>302</v>
      </c>
      <c r="D4" s="3">
        <v>32</v>
      </c>
      <c r="E4" t="s">
        <v>29</v>
      </c>
      <c r="F4" t="s">
        <v>317</v>
      </c>
      <c r="G4" t="s">
        <v>332</v>
      </c>
      <c r="H4" t="s">
        <v>35</v>
      </c>
      <c r="I4" s="4">
        <v>280</v>
      </c>
      <c r="J4" s="4" t="s">
        <v>37</v>
      </c>
      <c r="K4" s="4" t="s">
        <v>37</v>
      </c>
      <c r="L4" s="4" t="s">
        <v>37</v>
      </c>
      <c r="M4" s="4" t="s">
        <v>38</v>
      </c>
      <c r="N4" s="5">
        <v>150</v>
      </c>
      <c r="O4" s="4">
        <f t="shared" ref="O4:O18" si="0">SUM(I4:L4)</f>
        <v>280</v>
      </c>
      <c r="P4" s="4">
        <f>O4-(O4*$T$4)+N4</f>
        <v>388</v>
      </c>
      <c r="Q4" s="4">
        <f t="shared" ref="Q4:Q18" si="1">P4*$T$5</f>
        <v>60105.08</v>
      </c>
      <c r="S4" s="6" t="s">
        <v>43</v>
      </c>
      <c r="T4" s="7">
        <v>0.15</v>
      </c>
    </row>
    <row r="5" spans="1:20" x14ac:dyDescent="0.25">
      <c r="A5" s="2">
        <v>21523</v>
      </c>
      <c r="B5" t="s">
        <v>288</v>
      </c>
      <c r="C5" t="s">
        <v>303</v>
      </c>
      <c r="D5" s="3">
        <v>31</v>
      </c>
      <c r="E5" t="s">
        <v>28</v>
      </c>
      <c r="F5" t="s">
        <v>318</v>
      </c>
      <c r="G5" t="s">
        <v>333</v>
      </c>
      <c r="H5" t="s">
        <v>35</v>
      </c>
      <c r="I5" s="4">
        <v>280</v>
      </c>
      <c r="J5" s="4" t="s">
        <v>37</v>
      </c>
      <c r="K5" s="4" t="s">
        <v>37</v>
      </c>
      <c r="L5" s="4" t="s">
        <v>37</v>
      </c>
      <c r="M5" s="4" t="s">
        <v>39</v>
      </c>
      <c r="N5" s="5">
        <v>50</v>
      </c>
      <c r="O5" s="4">
        <f t="shared" si="0"/>
        <v>280</v>
      </c>
      <c r="P5" s="4">
        <f>O5-(O5*$T$4)+N5</f>
        <v>288</v>
      </c>
      <c r="Q5" s="4">
        <f t="shared" si="1"/>
        <v>44614.080000000002</v>
      </c>
      <c r="S5" s="6" t="s">
        <v>44</v>
      </c>
      <c r="T5" s="8">
        <v>154.91</v>
      </c>
    </row>
    <row r="6" spans="1:20" x14ac:dyDescent="0.25">
      <c r="A6" s="2">
        <v>23565</v>
      </c>
      <c r="B6" t="s">
        <v>289</v>
      </c>
      <c r="C6" t="s">
        <v>304</v>
      </c>
      <c r="D6" s="3">
        <v>23</v>
      </c>
      <c r="E6" t="s">
        <v>91</v>
      </c>
      <c r="F6" t="s">
        <v>319</v>
      </c>
      <c r="G6" t="s">
        <v>334</v>
      </c>
      <c r="H6" t="s">
        <v>33</v>
      </c>
      <c r="I6" s="4" t="s">
        <v>37</v>
      </c>
      <c r="J6" s="4">
        <v>93.33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0"/>
        <v>93.33</v>
      </c>
      <c r="P6" s="4">
        <f>O6+(O6*$T$3)+N6</f>
        <v>252.66300000000001</v>
      </c>
      <c r="Q6" s="4">
        <f t="shared" si="1"/>
        <v>39140.025330000004</v>
      </c>
    </row>
    <row r="7" spans="1:20" x14ac:dyDescent="0.25">
      <c r="A7" s="2">
        <v>23215</v>
      </c>
      <c r="B7" t="s">
        <v>290</v>
      </c>
      <c r="C7" t="s">
        <v>315</v>
      </c>
      <c r="D7" s="3">
        <v>40</v>
      </c>
      <c r="E7" t="s">
        <v>91</v>
      </c>
      <c r="F7" t="s">
        <v>320</v>
      </c>
      <c r="G7" t="s">
        <v>335</v>
      </c>
      <c r="H7" t="s">
        <v>33</v>
      </c>
      <c r="I7" s="4" t="s">
        <v>37</v>
      </c>
      <c r="J7" s="4">
        <v>93.33</v>
      </c>
      <c r="K7" s="4">
        <v>93.33</v>
      </c>
      <c r="L7" s="4">
        <v>93.33</v>
      </c>
      <c r="M7" s="4" t="s">
        <v>38</v>
      </c>
      <c r="N7" s="5">
        <v>150</v>
      </c>
      <c r="O7" s="4">
        <f t="shared" si="0"/>
        <v>279.99</v>
      </c>
      <c r="P7" s="4">
        <f>O7+(O7*$T$3)+N7</f>
        <v>457.98900000000003</v>
      </c>
      <c r="Q7" s="4">
        <f t="shared" si="1"/>
        <v>70947.075989999998</v>
      </c>
    </row>
    <row r="8" spans="1:20" x14ac:dyDescent="0.25">
      <c r="A8" s="2">
        <v>21357</v>
      </c>
      <c r="B8" t="s">
        <v>291</v>
      </c>
      <c r="C8" t="s">
        <v>92</v>
      </c>
      <c r="D8" s="3">
        <v>42</v>
      </c>
      <c r="E8" t="s">
        <v>91</v>
      </c>
      <c r="F8" t="s">
        <v>321</v>
      </c>
      <c r="G8" t="s">
        <v>336</v>
      </c>
      <c r="H8" t="s">
        <v>35</v>
      </c>
      <c r="I8" s="4">
        <v>280</v>
      </c>
      <c r="J8" s="4" t="s">
        <v>37</v>
      </c>
      <c r="K8" s="4" t="s">
        <v>37</v>
      </c>
      <c r="L8" s="4" t="s">
        <v>37</v>
      </c>
      <c r="M8" s="4" t="s">
        <v>39</v>
      </c>
      <c r="N8" s="5">
        <v>50</v>
      </c>
      <c r="O8" s="4">
        <f t="shared" si="0"/>
        <v>280</v>
      </c>
      <c r="P8" s="4">
        <f>O8-(O8*$T$4)+N8</f>
        <v>288</v>
      </c>
      <c r="Q8" s="4">
        <f t="shared" si="1"/>
        <v>44614.080000000002</v>
      </c>
    </row>
    <row r="9" spans="1:20" x14ac:dyDescent="0.25">
      <c r="A9" s="2">
        <v>98654</v>
      </c>
      <c r="B9" t="s">
        <v>292</v>
      </c>
      <c r="C9" t="s">
        <v>314</v>
      </c>
      <c r="D9" s="3">
        <v>14</v>
      </c>
      <c r="E9" t="s">
        <v>28</v>
      </c>
      <c r="F9" t="s">
        <v>322</v>
      </c>
      <c r="G9" t="s">
        <v>337</v>
      </c>
      <c r="H9" t="s">
        <v>35</v>
      </c>
      <c r="I9" s="4">
        <v>280</v>
      </c>
      <c r="J9" s="4" t="s">
        <v>37</v>
      </c>
      <c r="K9" s="4" t="s">
        <v>37</v>
      </c>
      <c r="L9" s="4" t="s">
        <v>37</v>
      </c>
      <c r="M9" s="4" t="s">
        <v>39</v>
      </c>
      <c r="N9" s="5">
        <v>50</v>
      </c>
      <c r="O9" s="4">
        <f t="shared" si="0"/>
        <v>280</v>
      </c>
      <c r="P9" s="4">
        <f>O9-(O9*$T$4)+N9</f>
        <v>288</v>
      </c>
      <c r="Q9" s="4">
        <f t="shared" si="1"/>
        <v>44614.080000000002</v>
      </c>
    </row>
    <row r="10" spans="1:20" x14ac:dyDescent="0.25">
      <c r="A10" s="2">
        <v>45216</v>
      </c>
      <c r="B10" t="s">
        <v>293</v>
      </c>
      <c r="C10" t="s">
        <v>313</v>
      </c>
      <c r="D10" s="3">
        <v>32</v>
      </c>
      <c r="E10" t="s">
        <v>28</v>
      </c>
      <c r="F10" t="s">
        <v>323</v>
      </c>
      <c r="G10" t="s">
        <v>338</v>
      </c>
      <c r="H10" t="s">
        <v>33</v>
      </c>
      <c r="I10" s="4" t="s">
        <v>37</v>
      </c>
      <c r="J10" s="4">
        <v>93.33</v>
      </c>
      <c r="K10" s="4" t="s">
        <v>37</v>
      </c>
      <c r="L10" s="4" t="s">
        <v>37</v>
      </c>
      <c r="M10" s="4" t="s">
        <v>38</v>
      </c>
      <c r="N10" s="5">
        <v>150</v>
      </c>
      <c r="O10" s="4">
        <f t="shared" si="0"/>
        <v>93.33</v>
      </c>
      <c r="P10" s="4">
        <f>O10+(O10*$T$3)+N10</f>
        <v>252.66300000000001</v>
      </c>
      <c r="Q10" s="4">
        <f t="shared" si="1"/>
        <v>39140.025330000004</v>
      </c>
    </row>
    <row r="11" spans="1:20" x14ac:dyDescent="0.25">
      <c r="A11" s="2">
        <v>21354</v>
      </c>
      <c r="B11" t="s">
        <v>294</v>
      </c>
      <c r="C11" t="s">
        <v>312</v>
      </c>
      <c r="D11" s="3">
        <v>35</v>
      </c>
      <c r="E11" t="s">
        <v>28</v>
      </c>
      <c r="F11" t="s">
        <v>324</v>
      </c>
      <c r="G11" t="s">
        <v>339</v>
      </c>
      <c r="H11" t="s">
        <v>33</v>
      </c>
      <c r="I11" s="4" t="s">
        <v>37</v>
      </c>
      <c r="J11" s="4">
        <v>93.33</v>
      </c>
      <c r="K11" s="4">
        <v>93.33</v>
      </c>
      <c r="L11" s="4" t="s">
        <v>37</v>
      </c>
      <c r="M11" s="4" t="s">
        <v>38</v>
      </c>
      <c r="N11" s="5">
        <v>150</v>
      </c>
      <c r="O11" s="4">
        <f t="shared" si="0"/>
        <v>186.66</v>
      </c>
      <c r="P11" s="4">
        <f t="shared" ref="P11:P12" si="2">O11+(O11*$T$3)+N11</f>
        <v>355.32600000000002</v>
      </c>
      <c r="Q11" s="4">
        <f t="shared" si="1"/>
        <v>55043.550660000001</v>
      </c>
    </row>
    <row r="12" spans="1:20" x14ac:dyDescent="0.25">
      <c r="A12" s="2">
        <v>84521</v>
      </c>
      <c r="B12" t="s">
        <v>295</v>
      </c>
      <c r="C12" t="s">
        <v>311</v>
      </c>
      <c r="D12" s="3">
        <v>23</v>
      </c>
      <c r="E12" t="s">
        <v>29</v>
      </c>
      <c r="F12" t="s">
        <v>325</v>
      </c>
      <c r="G12" t="s">
        <v>340</v>
      </c>
      <c r="H12" t="s">
        <v>33</v>
      </c>
      <c r="I12" s="4" t="s">
        <v>37</v>
      </c>
      <c r="J12" s="4">
        <v>93.33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0"/>
        <v>93.33</v>
      </c>
      <c r="P12" s="4">
        <f t="shared" si="2"/>
        <v>152.66300000000001</v>
      </c>
      <c r="Q12" s="4">
        <f t="shared" si="1"/>
        <v>23649.02533</v>
      </c>
    </row>
    <row r="13" spans="1:20" x14ac:dyDescent="0.25">
      <c r="A13" s="2">
        <v>26589</v>
      </c>
      <c r="B13" t="s">
        <v>296</v>
      </c>
      <c r="C13" t="s">
        <v>310</v>
      </c>
      <c r="D13" s="3">
        <v>28</v>
      </c>
      <c r="E13" t="s">
        <v>28</v>
      </c>
      <c r="F13" t="s">
        <v>326</v>
      </c>
      <c r="G13" t="s">
        <v>341</v>
      </c>
      <c r="H13" t="s">
        <v>33</v>
      </c>
      <c r="I13" s="4" t="s">
        <v>37</v>
      </c>
      <c r="J13" s="4">
        <v>93.33</v>
      </c>
      <c r="K13" s="4">
        <v>93.33</v>
      </c>
      <c r="L13" s="4">
        <v>93.33</v>
      </c>
      <c r="M13" s="4" t="s">
        <v>38</v>
      </c>
      <c r="N13" s="5">
        <v>150</v>
      </c>
      <c r="O13" s="4">
        <f>SUM(I13:L13)</f>
        <v>279.99</v>
      </c>
      <c r="P13" s="4">
        <f>O13+(O13*$T$3)+N13</f>
        <v>457.98900000000003</v>
      </c>
      <c r="Q13" s="4">
        <f t="shared" si="1"/>
        <v>70947.075989999998</v>
      </c>
    </row>
    <row r="14" spans="1:20" x14ac:dyDescent="0.25">
      <c r="A14" s="2">
        <v>26897</v>
      </c>
      <c r="B14" t="s">
        <v>297</v>
      </c>
      <c r="C14" t="s">
        <v>309</v>
      </c>
      <c r="D14" s="3">
        <v>37</v>
      </c>
      <c r="E14" t="s">
        <v>28</v>
      </c>
      <c r="F14" t="s">
        <v>327</v>
      </c>
      <c r="G14" t="s">
        <v>342</v>
      </c>
      <c r="H14" t="s">
        <v>35</v>
      </c>
      <c r="I14" s="4">
        <v>280</v>
      </c>
      <c r="J14" s="4" t="s">
        <v>37</v>
      </c>
      <c r="K14" s="4" t="s">
        <v>37</v>
      </c>
      <c r="L14" s="4" t="s">
        <v>37</v>
      </c>
      <c r="M14" s="4" t="s">
        <v>38</v>
      </c>
      <c r="N14" s="5">
        <v>150</v>
      </c>
      <c r="O14" s="4">
        <f t="shared" si="0"/>
        <v>280</v>
      </c>
      <c r="P14" s="4">
        <f>O14-(O14*$T$4)+N14</f>
        <v>388</v>
      </c>
      <c r="Q14" s="4">
        <f t="shared" si="1"/>
        <v>60105.08</v>
      </c>
    </row>
    <row r="15" spans="1:20" x14ac:dyDescent="0.25">
      <c r="A15" s="2">
        <v>32326</v>
      </c>
      <c r="B15" t="s">
        <v>298</v>
      </c>
      <c r="C15" t="s">
        <v>308</v>
      </c>
      <c r="D15" s="3">
        <v>39</v>
      </c>
      <c r="E15" t="s">
        <v>29</v>
      </c>
      <c r="F15" t="s">
        <v>328</v>
      </c>
      <c r="G15" t="s">
        <v>343</v>
      </c>
      <c r="H15" t="s">
        <v>35</v>
      </c>
      <c r="I15" s="4">
        <v>280</v>
      </c>
      <c r="J15" s="4" t="s">
        <v>37</v>
      </c>
      <c r="K15" s="4" t="s">
        <v>37</v>
      </c>
      <c r="L15" s="4" t="s">
        <v>37</v>
      </c>
      <c r="M15" s="4" t="s">
        <v>38</v>
      </c>
      <c r="N15" s="5">
        <v>150</v>
      </c>
      <c r="O15" s="4">
        <f t="shared" si="0"/>
        <v>280</v>
      </c>
      <c r="P15" s="4">
        <f t="shared" ref="P15:P18" si="3">O15-(O15*$T$4)+N15</f>
        <v>388</v>
      </c>
      <c r="Q15" s="4">
        <f t="shared" si="1"/>
        <v>60105.08</v>
      </c>
    </row>
    <row r="16" spans="1:20" x14ac:dyDescent="0.25">
      <c r="A16" s="2">
        <v>21532</v>
      </c>
      <c r="B16" t="s">
        <v>95</v>
      </c>
      <c r="C16" t="s">
        <v>307</v>
      </c>
      <c r="D16" s="3">
        <v>16</v>
      </c>
      <c r="E16" t="s">
        <v>29</v>
      </c>
      <c r="F16" t="s">
        <v>329</v>
      </c>
      <c r="G16" t="s">
        <v>344</v>
      </c>
      <c r="H16" t="s">
        <v>35</v>
      </c>
      <c r="I16" s="4">
        <v>280</v>
      </c>
      <c r="J16" s="4" t="s">
        <v>37</v>
      </c>
      <c r="K16" s="4" t="s">
        <v>37</v>
      </c>
      <c r="L16" s="4" t="s">
        <v>37</v>
      </c>
      <c r="M16" s="4" t="s">
        <v>38</v>
      </c>
      <c r="N16" s="5">
        <v>150</v>
      </c>
      <c r="O16" s="4">
        <f>SUM(I16:L16)</f>
        <v>280</v>
      </c>
      <c r="P16" s="4">
        <f t="shared" si="3"/>
        <v>388</v>
      </c>
      <c r="Q16" s="4">
        <f t="shared" si="1"/>
        <v>60105.08</v>
      </c>
    </row>
    <row r="17" spans="1:20" x14ac:dyDescent="0.25">
      <c r="A17" s="2">
        <v>65236</v>
      </c>
      <c r="B17" t="s">
        <v>300</v>
      </c>
      <c r="C17" t="s">
        <v>306</v>
      </c>
      <c r="D17" s="3">
        <v>27</v>
      </c>
      <c r="E17" t="s">
        <v>28</v>
      </c>
      <c r="F17" t="s">
        <v>115</v>
      </c>
      <c r="G17" t="s">
        <v>345</v>
      </c>
      <c r="H17" t="s">
        <v>33</v>
      </c>
      <c r="I17" s="4" t="s">
        <v>37</v>
      </c>
      <c r="J17" s="4">
        <v>93.33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>SUM(I17:L17)</f>
        <v>93.33</v>
      </c>
      <c r="P17" s="4">
        <f>O17+(O17*$T$3)+N17</f>
        <v>152.66300000000001</v>
      </c>
      <c r="Q17" s="4">
        <f t="shared" si="1"/>
        <v>23649.02533</v>
      </c>
    </row>
    <row r="18" spans="1:20" x14ac:dyDescent="0.25">
      <c r="A18" s="2">
        <v>21234</v>
      </c>
      <c r="B18" t="s">
        <v>299</v>
      </c>
      <c r="C18" t="s">
        <v>305</v>
      </c>
      <c r="D18" s="3">
        <v>36</v>
      </c>
      <c r="E18" t="s">
        <v>28</v>
      </c>
      <c r="F18" t="s">
        <v>330</v>
      </c>
      <c r="G18" t="s">
        <v>346</v>
      </c>
      <c r="H18" t="s">
        <v>35</v>
      </c>
      <c r="I18" s="4">
        <v>280</v>
      </c>
      <c r="J18" s="4" t="s">
        <v>37</v>
      </c>
      <c r="K18" s="4" t="s">
        <v>37</v>
      </c>
      <c r="L18" s="4" t="s">
        <v>37</v>
      </c>
      <c r="M18" s="4" t="s">
        <v>38</v>
      </c>
      <c r="N18" s="5">
        <v>150</v>
      </c>
      <c r="O18" s="4">
        <f t="shared" si="0"/>
        <v>280</v>
      </c>
      <c r="P18" s="4">
        <f t="shared" si="3"/>
        <v>388</v>
      </c>
      <c r="Q18" s="4">
        <f t="shared" si="1"/>
        <v>60105.08</v>
      </c>
    </row>
    <row r="20" spans="1:20" x14ac:dyDescent="0.25">
      <c r="A20" s="6" t="s">
        <v>48</v>
      </c>
      <c r="C20">
        <f>COUNT(A2:A18)</f>
        <v>16</v>
      </c>
      <c r="O20" s="1" t="s">
        <v>46</v>
      </c>
      <c r="P20" s="8">
        <f>SUM(P3:P18)</f>
        <v>5273.9560000000001</v>
      </c>
      <c r="Q20" s="8">
        <f>SUM(Q3:Q18)</f>
        <v>816988.52395999979</v>
      </c>
    </row>
    <row r="21" spans="1:20" x14ac:dyDescent="0.25">
      <c r="A21" s="6" t="s">
        <v>47</v>
      </c>
      <c r="C21" s="8">
        <f>SUM(O3:O18)</f>
        <v>3639.96</v>
      </c>
    </row>
    <row r="22" spans="1:20" x14ac:dyDescent="0.25">
      <c r="A22" s="6" t="s">
        <v>49</v>
      </c>
      <c r="C22" s="8">
        <f>SUMIF(N3:N18,"=150")</f>
        <v>1650</v>
      </c>
    </row>
    <row r="23" spans="1:20" x14ac:dyDescent="0.25">
      <c r="A23" s="6" t="s">
        <v>50</v>
      </c>
      <c r="C23" s="8">
        <f>SUM(P3:P18)</f>
        <v>5273.9560000000001</v>
      </c>
    </row>
    <row r="25" spans="1:20" ht="28.5" x14ac:dyDescent="0.45">
      <c r="A25" s="11" t="s">
        <v>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52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57</v>
      </c>
    </row>
    <row r="27" spans="1:20" x14ac:dyDescent="0.25">
      <c r="A27" t="s">
        <v>59</v>
      </c>
      <c r="B27" s="4">
        <v>60</v>
      </c>
      <c r="C27" s="3" t="s">
        <v>37</v>
      </c>
      <c r="D27" s="9">
        <v>0.2</v>
      </c>
      <c r="E27" s="4">
        <f>'Xod-Us'!E28*D27+'Xod-Us'!E28</f>
        <v>86.4</v>
      </c>
      <c r="F27" s="4">
        <f>PRODUCT(E27,15)</f>
        <v>1296</v>
      </c>
    </row>
    <row r="28" spans="1:20" x14ac:dyDescent="0.25">
      <c r="A28" t="s">
        <v>60</v>
      </c>
      <c r="B28" s="4">
        <v>40</v>
      </c>
      <c r="C28" s="3" t="s">
        <v>37</v>
      </c>
      <c r="D28" s="9">
        <v>0.2</v>
      </c>
      <c r="E28" s="4">
        <f>'Xod-Us'!E29*D28+'Xod-Us'!E29</f>
        <v>57.6</v>
      </c>
      <c r="F28" s="4">
        <f t="shared" ref="F28:F35" si="4">PRODUCT(E28,15)</f>
        <v>864</v>
      </c>
    </row>
    <row r="29" spans="1:20" x14ac:dyDescent="0.25">
      <c r="A29" t="s">
        <v>61</v>
      </c>
      <c r="B29" s="4">
        <v>135</v>
      </c>
      <c r="C29" s="3" t="s">
        <v>37</v>
      </c>
      <c r="D29" s="9">
        <v>0.12</v>
      </c>
      <c r="E29" s="4">
        <f>'Xod-Us'!E30*D29+'Xod-Us'!E30</f>
        <v>169.34399999999999</v>
      </c>
      <c r="F29" s="4">
        <f>PRODUCT(E29,15)</f>
        <v>2540.16</v>
      </c>
    </row>
    <row r="30" spans="1:20" x14ac:dyDescent="0.25">
      <c r="A30" t="s">
        <v>62</v>
      </c>
      <c r="B30" s="4">
        <v>75</v>
      </c>
      <c r="C30" s="3" t="s">
        <v>37</v>
      </c>
      <c r="D30" s="9">
        <v>0.08</v>
      </c>
      <c r="E30" s="4">
        <f>'Xod-Us'!E31*D30+'Xod-Us'!E31</f>
        <v>87.48</v>
      </c>
      <c r="F30" s="4">
        <f t="shared" si="4"/>
        <v>1312.2</v>
      </c>
    </row>
    <row r="31" spans="1:20" x14ac:dyDescent="0.25">
      <c r="A31" t="s">
        <v>63</v>
      </c>
      <c r="B31" s="4" t="s">
        <v>37</v>
      </c>
      <c r="C31" s="4">
        <v>3000</v>
      </c>
      <c r="D31" s="3" t="s">
        <v>37</v>
      </c>
      <c r="E31" s="4">
        <f>C31/5</f>
        <v>600</v>
      </c>
      <c r="F31" s="4">
        <f t="shared" si="4"/>
        <v>9000</v>
      </c>
    </row>
    <row r="32" spans="1:20" x14ac:dyDescent="0.25">
      <c r="A32" t="s">
        <v>64</v>
      </c>
      <c r="B32" s="4" t="s">
        <v>37</v>
      </c>
      <c r="C32" s="4">
        <v>2500</v>
      </c>
      <c r="D32" s="3" t="s">
        <v>37</v>
      </c>
      <c r="E32" s="4">
        <f t="shared" ref="E32:E35" si="5">C32/5</f>
        <v>500</v>
      </c>
      <c r="F32" s="4">
        <f t="shared" si="4"/>
        <v>7500</v>
      </c>
    </row>
    <row r="33" spans="1:6" x14ac:dyDescent="0.25">
      <c r="A33" t="s">
        <v>65</v>
      </c>
      <c r="B33" s="4" t="s">
        <v>37</v>
      </c>
      <c r="C33" s="4">
        <v>4000</v>
      </c>
      <c r="D33" s="3" t="s">
        <v>37</v>
      </c>
      <c r="E33" s="4">
        <f t="shared" si="5"/>
        <v>800</v>
      </c>
      <c r="F33" s="4">
        <f t="shared" si="4"/>
        <v>12000</v>
      </c>
    </row>
    <row r="34" spans="1:6" x14ac:dyDescent="0.25">
      <c r="A34" t="s">
        <v>66</v>
      </c>
      <c r="B34" s="4" t="s">
        <v>37</v>
      </c>
      <c r="C34" s="4">
        <v>1800</v>
      </c>
      <c r="D34" s="3" t="s">
        <v>37</v>
      </c>
      <c r="E34" s="4">
        <f t="shared" si="5"/>
        <v>360</v>
      </c>
      <c r="F34" s="4">
        <f t="shared" si="4"/>
        <v>5400</v>
      </c>
    </row>
    <row r="35" spans="1:6" x14ac:dyDescent="0.25">
      <c r="A35" t="s">
        <v>67</v>
      </c>
      <c r="B35" s="4" t="s">
        <v>37</v>
      </c>
      <c r="C35" s="4">
        <v>5000</v>
      </c>
      <c r="D35" s="3" t="s">
        <v>37</v>
      </c>
      <c r="E35" s="4">
        <f t="shared" si="5"/>
        <v>1000</v>
      </c>
      <c r="F35" s="4">
        <f t="shared" si="4"/>
        <v>15000</v>
      </c>
    </row>
    <row r="37" spans="1:6" x14ac:dyDescent="0.25">
      <c r="E37" s="1" t="s">
        <v>58</v>
      </c>
      <c r="F37" s="4">
        <f>SUM(F27:F35)</f>
        <v>54912.36</v>
      </c>
    </row>
    <row r="39" spans="1:6" x14ac:dyDescent="0.25">
      <c r="A39" s="1" t="s">
        <v>116</v>
      </c>
      <c r="B39" s="1" t="s">
        <v>117</v>
      </c>
      <c r="C39" s="1" t="s">
        <v>58</v>
      </c>
    </row>
    <row r="40" spans="1:6" x14ac:dyDescent="0.25">
      <c r="A40" t="s">
        <v>121</v>
      </c>
      <c r="B40" s="8">
        <f>Q20</f>
        <v>816988.52395999979</v>
      </c>
      <c r="C40" s="8">
        <f>F37</f>
        <v>54912.36</v>
      </c>
    </row>
    <row r="41" spans="1:6" x14ac:dyDescent="0.25">
      <c r="A41" t="s">
        <v>118</v>
      </c>
      <c r="B41" s="8">
        <f>BacchaX!Q21</f>
        <v>494571.24275999994</v>
      </c>
      <c r="C41" s="8">
        <f>BacchaX!F38</f>
        <v>53850</v>
      </c>
    </row>
    <row r="42" spans="1:6" x14ac:dyDescent="0.25">
      <c r="A42" t="s">
        <v>122</v>
      </c>
      <c r="B42" s="8">
        <f>'Xod-Us'!Q21</f>
        <v>587258.46560499992</v>
      </c>
      <c r="C42" s="8">
        <f>'Xod-Us'!F38</f>
        <v>54183</v>
      </c>
    </row>
    <row r="43" spans="1:6" x14ac:dyDescent="0.25">
      <c r="A43" t="s">
        <v>120</v>
      </c>
      <c r="B43" s="8">
        <f>'Fant-X'!Q18</f>
        <v>849396.31559999997</v>
      </c>
      <c r="C43" s="8">
        <f>'Fant-X'!F35</f>
        <v>55754.155200000001</v>
      </c>
    </row>
    <row r="44" spans="1:6" x14ac:dyDescent="0.25">
      <c r="A44" t="s">
        <v>119</v>
      </c>
      <c r="B44" s="8">
        <f>DreamX!Q18</f>
        <v>1018096.4038000001</v>
      </c>
      <c r="C44" s="8">
        <f>DreamX!F35</f>
        <v>56727.326784000004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"/>
  <sheetViews>
    <sheetView showFormulas="1" zoomScale="90" zoomScaleNormal="90" workbookViewId="0">
      <selection activeCell="A16" sqref="A16"/>
    </sheetView>
  </sheetViews>
  <sheetFormatPr defaultRowHeight="15" x14ac:dyDescent="0.25"/>
  <cols>
    <col min="1" max="1" width="15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6" t="s">
        <v>7</v>
      </c>
      <c r="K2" s="6"/>
      <c r="L2" s="6"/>
      <c r="M2" s="6" t="s">
        <v>8</v>
      </c>
      <c r="N2" s="6"/>
      <c r="O2" s="1" t="s">
        <v>40</v>
      </c>
      <c r="P2" s="1" t="s">
        <v>41</v>
      </c>
      <c r="Q2" s="1" t="s">
        <v>9</v>
      </c>
    </row>
    <row r="3" spans="1:20" x14ac:dyDescent="0.25">
      <c r="A3" s="2">
        <v>47933</v>
      </c>
      <c r="B3" t="s">
        <v>277</v>
      </c>
      <c r="C3" t="s">
        <v>22</v>
      </c>
      <c r="D3" s="3">
        <v>32</v>
      </c>
      <c r="E3" t="s">
        <v>28</v>
      </c>
      <c r="F3" t="s">
        <v>249</v>
      </c>
      <c r="G3" t="s">
        <v>263</v>
      </c>
      <c r="H3" t="s">
        <v>35</v>
      </c>
      <c r="I3" s="4">
        <v>350</v>
      </c>
      <c r="J3" s="4" t="s">
        <v>37</v>
      </c>
      <c r="K3" s="4" t="s">
        <v>37</v>
      </c>
      <c r="L3" s="4" t="s">
        <v>37</v>
      </c>
      <c r="M3" s="4" t="s">
        <v>39</v>
      </c>
      <c r="N3" s="5">
        <v>50</v>
      </c>
      <c r="O3" s="4">
        <f t="shared" ref="O3:O16" si="0">SUM(I3:L3)</f>
        <v>350</v>
      </c>
      <c r="P3" s="4">
        <f>O3-(O3*$T$4)+N3</f>
        <v>347.5</v>
      </c>
      <c r="Q3" s="4">
        <f t="shared" ref="Q3:Q16" si="1">P3*$T$5</f>
        <v>53831.224999999999</v>
      </c>
      <c r="S3" s="6" t="s">
        <v>42</v>
      </c>
      <c r="T3" s="7">
        <v>0.1</v>
      </c>
    </row>
    <row r="4" spans="1:20" x14ac:dyDescent="0.25">
      <c r="A4" s="2">
        <v>32456</v>
      </c>
      <c r="B4" t="s">
        <v>12</v>
      </c>
      <c r="C4" t="s">
        <v>23</v>
      </c>
      <c r="D4" s="3">
        <v>49</v>
      </c>
      <c r="E4" t="s">
        <v>28</v>
      </c>
      <c r="F4" t="s">
        <v>250</v>
      </c>
      <c r="G4" t="s">
        <v>264</v>
      </c>
      <c r="H4" t="s">
        <v>35</v>
      </c>
      <c r="I4" s="4">
        <v>350</v>
      </c>
      <c r="J4" s="4" t="s">
        <v>37</v>
      </c>
      <c r="K4" s="4" t="s">
        <v>37</v>
      </c>
      <c r="L4" s="4" t="s">
        <v>37</v>
      </c>
      <c r="M4" s="4" t="s">
        <v>39</v>
      </c>
      <c r="N4" s="5">
        <v>50</v>
      </c>
      <c r="O4" s="4">
        <f t="shared" si="0"/>
        <v>350</v>
      </c>
      <c r="P4" s="4">
        <f>O4-(O4*$T$4)+N4</f>
        <v>347.5</v>
      </c>
      <c r="Q4" s="4">
        <f t="shared" si="1"/>
        <v>53831.224999999999</v>
      </c>
      <c r="S4" s="6" t="s">
        <v>43</v>
      </c>
      <c r="T4" s="7">
        <v>0.15</v>
      </c>
    </row>
    <row r="5" spans="1:20" x14ac:dyDescent="0.25">
      <c r="A5" s="2">
        <v>42357</v>
      </c>
      <c r="B5" t="s">
        <v>97</v>
      </c>
      <c r="C5" t="s">
        <v>21</v>
      </c>
      <c r="D5" s="3">
        <v>43</v>
      </c>
      <c r="E5" t="s">
        <v>28</v>
      </c>
      <c r="F5" t="s">
        <v>251</v>
      </c>
      <c r="G5" t="s">
        <v>265</v>
      </c>
      <c r="H5" t="s">
        <v>33</v>
      </c>
      <c r="I5" s="4" t="s">
        <v>37</v>
      </c>
      <c r="J5" s="4">
        <v>116.7</v>
      </c>
      <c r="K5" s="4">
        <v>116.7</v>
      </c>
      <c r="L5" s="4">
        <v>116.7</v>
      </c>
      <c r="M5" s="4" t="s">
        <v>39</v>
      </c>
      <c r="N5" s="5">
        <v>50</v>
      </c>
      <c r="O5" s="4">
        <f t="shared" si="0"/>
        <v>350.1</v>
      </c>
      <c r="P5" s="4">
        <f>O5+(O5*$T$3)+N5</f>
        <v>435.11</v>
      </c>
      <c r="Q5" s="4">
        <f t="shared" si="1"/>
        <v>67402.890100000004</v>
      </c>
      <c r="S5" s="6" t="s">
        <v>44</v>
      </c>
      <c r="T5" s="8">
        <v>154.91</v>
      </c>
    </row>
    <row r="6" spans="1:20" x14ac:dyDescent="0.25">
      <c r="A6" s="2">
        <v>20445</v>
      </c>
      <c r="B6" t="s">
        <v>99</v>
      </c>
      <c r="C6" t="s">
        <v>96</v>
      </c>
      <c r="D6" s="3">
        <v>25</v>
      </c>
      <c r="E6" t="s">
        <v>29</v>
      </c>
      <c r="F6" t="s">
        <v>252</v>
      </c>
      <c r="G6" t="s">
        <v>266</v>
      </c>
      <c r="H6" t="s">
        <v>35</v>
      </c>
      <c r="I6" s="4">
        <v>350</v>
      </c>
      <c r="J6" s="4" t="s">
        <v>37</v>
      </c>
      <c r="K6" s="4" t="s">
        <v>37</v>
      </c>
      <c r="L6" s="4" t="s">
        <v>37</v>
      </c>
      <c r="M6" s="4" t="s">
        <v>102</v>
      </c>
      <c r="N6" s="5">
        <v>150</v>
      </c>
      <c r="O6" s="4">
        <f t="shared" si="0"/>
        <v>350</v>
      </c>
      <c r="P6" s="4">
        <f>O6-(O6*$T$4)+N6</f>
        <v>447.5</v>
      </c>
      <c r="Q6" s="4">
        <f t="shared" si="1"/>
        <v>69322.224999999991</v>
      </c>
    </row>
    <row r="7" spans="1:20" x14ac:dyDescent="0.25">
      <c r="A7" s="2">
        <v>73924</v>
      </c>
      <c r="B7" t="s">
        <v>287</v>
      </c>
      <c r="C7" t="s">
        <v>14</v>
      </c>
      <c r="D7" s="3">
        <v>31</v>
      </c>
      <c r="E7" t="s">
        <v>28</v>
      </c>
      <c r="F7" t="s">
        <v>253</v>
      </c>
      <c r="G7" t="s">
        <v>267</v>
      </c>
      <c r="H7" t="s">
        <v>33</v>
      </c>
      <c r="I7" s="4" t="s">
        <v>37</v>
      </c>
      <c r="J7" s="4">
        <v>116.7</v>
      </c>
      <c r="K7" s="4">
        <v>116.7</v>
      </c>
      <c r="L7" s="4" t="s">
        <v>37</v>
      </c>
      <c r="M7" s="4" t="s">
        <v>39</v>
      </c>
      <c r="N7" s="5">
        <v>50</v>
      </c>
      <c r="O7" s="4">
        <f t="shared" si="0"/>
        <v>233.4</v>
      </c>
      <c r="P7" s="4">
        <f>O7+(O7*$T$3)+N7</f>
        <v>306.74</v>
      </c>
      <c r="Q7" s="4">
        <f t="shared" si="1"/>
        <v>47517.093399999998</v>
      </c>
    </row>
    <row r="8" spans="1:20" x14ac:dyDescent="0.25">
      <c r="A8" s="2">
        <v>92123</v>
      </c>
      <c r="B8" t="s">
        <v>286</v>
      </c>
      <c r="C8" t="s">
        <v>69</v>
      </c>
      <c r="D8" s="3">
        <v>24</v>
      </c>
      <c r="E8" t="s">
        <v>29</v>
      </c>
      <c r="F8" t="s">
        <v>254</v>
      </c>
      <c r="G8" t="s">
        <v>268</v>
      </c>
      <c r="H8" t="s">
        <v>35</v>
      </c>
      <c r="I8" s="4">
        <v>350</v>
      </c>
      <c r="J8" s="4" t="s">
        <v>37</v>
      </c>
      <c r="K8" s="4" t="s">
        <v>37</v>
      </c>
      <c r="L8" s="4" t="s">
        <v>37</v>
      </c>
      <c r="M8" s="4" t="s">
        <v>102</v>
      </c>
      <c r="N8" s="5">
        <v>150</v>
      </c>
      <c r="O8" s="4">
        <f t="shared" si="0"/>
        <v>350</v>
      </c>
      <c r="P8" s="4">
        <f>O8-(O8*$T$4)+N8</f>
        <v>447.5</v>
      </c>
      <c r="Q8" s="4">
        <f t="shared" si="1"/>
        <v>69322.224999999991</v>
      </c>
    </row>
    <row r="9" spans="1:20" x14ac:dyDescent="0.25">
      <c r="A9" s="2">
        <v>57136</v>
      </c>
      <c r="B9" t="s">
        <v>285</v>
      </c>
      <c r="C9" t="s">
        <v>99</v>
      </c>
      <c r="D9" s="3">
        <v>33</v>
      </c>
      <c r="E9" t="s">
        <v>28</v>
      </c>
      <c r="F9" t="s">
        <v>255</v>
      </c>
      <c r="G9" t="s">
        <v>269</v>
      </c>
      <c r="H9" t="s">
        <v>33</v>
      </c>
      <c r="I9" s="4" t="s">
        <v>37</v>
      </c>
      <c r="J9" s="4">
        <v>116.7</v>
      </c>
      <c r="K9" s="4" t="s">
        <v>37</v>
      </c>
      <c r="L9" s="4" t="s">
        <v>37</v>
      </c>
      <c r="M9" s="4" t="s">
        <v>102</v>
      </c>
      <c r="N9" s="5">
        <v>150</v>
      </c>
      <c r="O9" s="4">
        <f t="shared" si="0"/>
        <v>116.7</v>
      </c>
      <c r="P9" s="4">
        <f t="shared" ref="P9:P15" si="2">O9+(O9*$T$3)+N9</f>
        <v>278.37</v>
      </c>
      <c r="Q9" s="4">
        <f t="shared" si="1"/>
        <v>43122.296699999999</v>
      </c>
    </row>
    <row r="10" spans="1:20" x14ac:dyDescent="0.25">
      <c r="A10" s="2">
        <v>31274</v>
      </c>
      <c r="B10" t="s">
        <v>284</v>
      </c>
      <c r="C10" t="s">
        <v>20</v>
      </c>
      <c r="D10" s="3">
        <v>53</v>
      </c>
      <c r="E10" t="s">
        <v>29</v>
      </c>
      <c r="F10" t="s">
        <v>256</v>
      </c>
      <c r="G10" t="s">
        <v>270</v>
      </c>
      <c r="H10" t="s">
        <v>33</v>
      </c>
      <c r="I10" s="4" t="s">
        <v>37</v>
      </c>
      <c r="J10" s="4">
        <v>116.7</v>
      </c>
      <c r="K10" s="4">
        <v>116.7</v>
      </c>
      <c r="L10" s="4" t="s">
        <v>37</v>
      </c>
      <c r="M10" s="4" t="s">
        <v>39</v>
      </c>
      <c r="N10" s="5">
        <v>50</v>
      </c>
      <c r="O10" s="4">
        <f t="shared" si="0"/>
        <v>233.4</v>
      </c>
      <c r="P10" s="4">
        <f t="shared" si="2"/>
        <v>306.74</v>
      </c>
      <c r="Q10" s="4">
        <f t="shared" si="1"/>
        <v>47517.093399999998</v>
      </c>
    </row>
    <row r="11" spans="1:20" x14ac:dyDescent="0.25">
      <c r="A11" s="2">
        <v>20212</v>
      </c>
      <c r="B11" t="s">
        <v>283</v>
      </c>
      <c r="C11" t="s">
        <v>100</v>
      </c>
      <c r="D11" s="3">
        <v>23</v>
      </c>
      <c r="E11" t="s">
        <v>29</v>
      </c>
      <c r="F11" t="s">
        <v>257</v>
      </c>
      <c r="G11" t="s">
        <v>271</v>
      </c>
      <c r="H11" t="s">
        <v>33</v>
      </c>
      <c r="I11" s="4" t="s">
        <v>37</v>
      </c>
      <c r="J11" s="4">
        <v>116.7</v>
      </c>
      <c r="K11" s="4">
        <v>116.7</v>
      </c>
      <c r="L11" s="4">
        <v>116.7</v>
      </c>
      <c r="M11" s="4" t="s">
        <v>39</v>
      </c>
      <c r="N11" s="5">
        <v>50</v>
      </c>
      <c r="O11" s="4">
        <f t="shared" si="0"/>
        <v>350.1</v>
      </c>
      <c r="P11" s="4">
        <f t="shared" si="2"/>
        <v>435.11</v>
      </c>
      <c r="Q11" s="4">
        <f t="shared" si="1"/>
        <v>67402.890100000004</v>
      </c>
    </row>
    <row r="12" spans="1:20" x14ac:dyDescent="0.25">
      <c r="A12" s="2">
        <v>14392</v>
      </c>
      <c r="B12" t="s">
        <v>282</v>
      </c>
      <c r="C12" t="s">
        <v>98</v>
      </c>
      <c r="D12" s="3">
        <v>21</v>
      </c>
      <c r="E12" t="s">
        <v>29</v>
      </c>
      <c r="F12" t="s">
        <v>258</v>
      </c>
      <c r="G12" t="s">
        <v>272</v>
      </c>
      <c r="H12" t="s">
        <v>35</v>
      </c>
      <c r="I12" s="4">
        <v>350</v>
      </c>
      <c r="J12" s="4" t="s">
        <v>37</v>
      </c>
      <c r="K12" s="4" t="s">
        <v>37</v>
      </c>
      <c r="L12" s="4" t="s">
        <v>37</v>
      </c>
      <c r="M12" s="4" t="s">
        <v>102</v>
      </c>
      <c r="N12" s="5">
        <v>150</v>
      </c>
      <c r="O12" s="4">
        <f t="shared" si="0"/>
        <v>350</v>
      </c>
      <c r="P12" s="4">
        <f t="shared" si="2"/>
        <v>535</v>
      </c>
      <c r="Q12" s="4">
        <f t="shared" si="1"/>
        <v>82876.849999999991</v>
      </c>
    </row>
    <row r="13" spans="1:20" x14ac:dyDescent="0.25">
      <c r="A13" s="2">
        <v>30791</v>
      </c>
      <c r="B13" t="s">
        <v>281</v>
      </c>
      <c r="C13" t="s">
        <v>21</v>
      </c>
      <c r="D13" s="3">
        <v>40</v>
      </c>
      <c r="E13" t="s">
        <v>29</v>
      </c>
      <c r="F13" t="s">
        <v>259</v>
      </c>
      <c r="G13" t="s">
        <v>273</v>
      </c>
      <c r="H13" t="s">
        <v>33</v>
      </c>
      <c r="I13" s="4" t="s">
        <v>37</v>
      </c>
      <c r="J13" s="4">
        <v>116.7</v>
      </c>
      <c r="K13" s="4">
        <v>116.7</v>
      </c>
      <c r="L13" s="4" t="s">
        <v>37</v>
      </c>
      <c r="M13" s="4" t="s">
        <v>102</v>
      </c>
      <c r="N13" s="5">
        <v>150</v>
      </c>
      <c r="O13" s="4">
        <f t="shared" si="0"/>
        <v>233.4</v>
      </c>
      <c r="P13" s="4">
        <f t="shared" si="2"/>
        <v>406.74</v>
      </c>
      <c r="Q13" s="4">
        <f t="shared" si="1"/>
        <v>63008.093399999998</v>
      </c>
    </row>
    <row r="14" spans="1:20" x14ac:dyDescent="0.25">
      <c r="A14" s="2">
        <v>89532</v>
      </c>
      <c r="B14" t="s">
        <v>280</v>
      </c>
      <c r="C14" t="s">
        <v>97</v>
      </c>
      <c r="D14" s="3">
        <v>39</v>
      </c>
      <c r="E14" t="s">
        <v>28</v>
      </c>
      <c r="F14" t="s">
        <v>260</v>
      </c>
      <c r="G14" t="s">
        <v>274</v>
      </c>
      <c r="H14" t="s">
        <v>33</v>
      </c>
      <c r="I14" s="4" t="s">
        <v>37</v>
      </c>
      <c r="J14" s="4">
        <v>116.7</v>
      </c>
      <c r="K14" s="4">
        <v>116.7</v>
      </c>
      <c r="L14" s="4" t="s">
        <v>37</v>
      </c>
      <c r="M14" s="4" t="s">
        <v>39</v>
      </c>
      <c r="N14" s="5">
        <v>50</v>
      </c>
      <c r="O14" s="4">
        <f t="shared" si="0"/>
        <v>233.4</v>
      </c>
      <c r="P14" s="4">
        <f t="shared" si="2"/>
        <v>306.74</v>
      </c>
      <c r="Q14" s="4">
        <f t="shared" si="1"/>
        <v>47517.093399999998</v>
      </c>
    </row>
    <row r="15" spans="1:20" x14ac:dyDescent="0.25">
      <c r="A15" s="2">
        <v>11469</v>
      </c>
      <c r="B15" t="s">
        <v>279</v>
      </c>
      <c r="C15" t="s">
        <v>15</v>
      </c>
      <c r="D15" s="3">
        <v>17</v>
      </c>
      <c r="E15" t="s">
        <v>29</v>
      </c>
      <c r="F15" t="s">
        <v>261</v>
      </c>
      <c r="G15" t="s">
        <v>275</v>
      </c>
      <c r="H15" t="s">
        <v>33</v>
      </c>
      <c r="I15" s="4" t="s">
        <v>37</v>
      </c>
      <c r="J15" s="4">
        <v>116.7</v>
      </c>
      <c r="K15" s="4">
        <v>116.7</v>
      </c>
      <c r="L15" s="4">
        <v>116.7</v>
      </c>
      <c r="M15" s="4" t="s">
        <v>102</v>
      </c>
      <c r="N15" s="5">
        <v>150</v>
      </c>
      <c r="O15" s="4">
        <f t="shared" si="0"/>
        <v>350.1</v>
      </c>
      <c r="P15" s="4">
        <f t="shared" si="2"/>
        <v>535.11</v>
      </c>
      <c r="Q15" s="4">
        <f t="shared" si="1"/>
        <v>82893.890100000004</v>
      </c>
    </row>
    <row r="16" spans="1:20" x14ac:dyDescent="0.25">
      <c r="A16" s="2">
        <v>39745</v>
      </c>
      <c r="B16" t="s">
        <v>278</v>
      </c>
      <c r="C16" t="s">
        <v>17</v>
      </c>
      <c r="D16" s="3">
        <v>34</v>
      </c>
      <c r="E16" t="s">
        <v>28</v>
      </c>
      <c r="F16" t="s">
        <v>262</v>
      </c>
      <c r="G16" t="s">
        <v>276</v>
      </c>
      <c r="H16" t="s">
        <v>35</v>
      </c>
      <c r="I16" s="4">
        <v>350</v>
      </c>
      <c r="J16" s="4" t="s">
        <v>37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0"/>
        <v>350</v>
      </c>
      <c r="P16" s="4">
        <f>O16-(O16*$T$4)+N16</f>
        <v>347.5</v>
      </c>
      <c r="Q16" s="4">
        <f t="shared" si="1"/>
        <v>53831.224999999999</v>
      </c>
    </row>
    <row r="18" spans="1:20" x14ac:dyDescent="0.25">
      <c r="A18" s="6" t="s">
        <v>48</v>
      </c>
      <c r="C18">
        <f>COUNT(A2:A16)</f>
        <v>14</v>
      </c>
      <c r="O18" s="1" t="s">
        <v>46</v>
      </c>
      <c r="P18" s="8">
        <f>SUM(P3:P16)</f>
        <v>5483.16</v>
      </c>
      <c r="Q18" s="8">
        <f>SUM(Q3:Q16)</f>
        <v>849396.31559999997</v>
      </c>
    </row>
    <row r="19" spans="1:20" x14ac:dyDescent="0.25">
      <c r="A19" s="6" t="s">
        <v>47</v>
      </c>
      <c r="C19" s="8">
        <f>SUM(O3:O16)</f>
        <v>4200.6000000000004</v>
      </c>
    </row>
    <row r="20" spans="1:20" x14ac:dyDescent="0.25">
      <c r="A20" s="6" t="s">
        <v>49</v>
      </c>
      <c r="C20" s="8">
        <f>SUMIF(N3:N16,"=150")</f>
        <v>900</v>
      </c>
    </row>
    <row r="21" spans="1:20" x14ac:dyDescent="0.25">
      <c r="A21" s="6" t="s">
        <v>50</v>
      </c>
      <c r="C21" s="8">
        <f>SUM(P3:P16)</f>
        <v>5483.16</v>
      </c>
    </row>
    <row r="23" spans="1:20" ht="28.5" x14ac:dyDescent="0.45">
      <c r="A23" s="11" t="s">
        <v>51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57</v>
      </c>
    </row>
    <row r="25" spans="1:20" x14ac:dyDescent="0.25">
      <c r="A25" t="s">
        <v>59</v>
      </c>
      <c r="B25" s="4">
        <v>60</v>
      </c>
      <c r="C25" s="3" t="s">
        <v>37</v>
      </c>
      <c r="D25" s="9">
        <v>0.2</v>
      </c>
      <c r="E25" s="4">
        <f>'JamCarn X'!E27*D25+'JamCarn X'!E27</f>
        <v>103.68</v>
      </c>
      <c r="F25" s="4">
        <f>PRODUCT(E25,15)</f>
        <v>1555.2</v>
      </c>
    </row>
    <row r="26" spans="1:20" x14ac:dyDescent="0.25">
      <c r="A26" t="s">
        <v>60</v>
      </c>
      <c r="B26" s="4">
        <v>40</v>
      </c>
      <c r="C26" s="3" t="s">
        <v>37</v>
      </c>
      <c r="D26" s="9">
        <v>0.2</v>
      </c>
      <c r="E26" s="4">
        <f>'JamCarn X'!E28*D26+'JamCarn X'!E28</f>
        <v>69.12</v>
      </c>
      <c r="F26" s="4">
        <f t="shared" ref="F26:F33" si="3">PRODUCT(E26,15)</f>
        <v>1036.8000000000002</v>
      </c>
    </row>
    <row r="27" spans="1:20" x14ac:dyDescent="0.25">
      <c r="A27" t="s">
        <v>61</v>
      </c>
      <c r="B27" s="4">
        <v>135</v>
      </c>
      <c r="C27" s="3" t="s">
        <v>37</v>
      </c>
      <c r="D27" s="9">
        <v>0.12</v>
      </c>
      <c r="E27" s="4">
        <f>'JamCarn X'!E29*D27+'JamCarn X'!E29</f>
        <v>189.66528</v>
      </c>
      <c r="F27" s="4">
        <f>PRODUCT(E27,15)</f>
        <v>2844.9791999999998</v>
      </c>
    </row>
    <row r="28" spans="1:20" x14ac:dyDescent="0.25">
      <c r="A28" t="s">
        <v>62</v>
      </c>
      <c r="B28" s="4">
        <v>75</v>
      </c>
      <c r="C28" s="3" t="s">
        <v>37</v>
      </c>
      <c r="D28" s="9">
        <v>0.08</v>
      </c>
      <c r="E28" s="4">
        <f>'JamCarn X'!E30*D28+'JamCarn X'!E30</f>
        <v>94.478400000000008</v>
      </c>
      <c r="F28" s="4">
        <f t="shared" si="3"/>
        <v>1417.1760000000002</v>
      </c>
    </row>
    <row r="29" spans="1:20" x14ac:dyDescent="0.25">
      <c r="A29" t="s">
        <v>63</v>
      </c>
      <c r="B29" s="4" t="s">
        <v>37</v>
      </c>
      <c r="C29" s="4">
        <v>3000</v>
      </c>
      <c r="D29" s="3" t="s">
        <v>37</v>
      </c>
      <c r="E29" s="4">
        <f>C29/5</f>
        <v>600</v>
      </c>
      <c r="F29" s="4">
        <f t="shared" si="3"/>
        <v>9000</v>
      </c>
    </row>
    <row r="30" spans="1:20" x14ac:dyDescent="0.25">
      <c r="A30" t="s">
        <v>64</v>
      </c>
      <c r="B30" s="4" t="s">
        <v>37</v>
      </c>
      <c r="C30" s="4">
        <v>2500</v>
      </c>
      <c r="D30" s="3" t="s">
        <v>37</v>
      </c>
      <c r="E30" s="4">
        <f t="shared" ref="E30:E33" si="4">C30/5</f>
        <v>500</v>
      </c>
      <c r="F30" s="4">
        <f t="shared" si="3"/>
        <v>7500</v>
      </c>
    </row>
    <row r="31" spans="1:20" x14ac:dyDescent="0.25">
      <c r="A31" t="s">
        <v>65</v>
      </c>
      <c r="B31" s="4" t="s">
        <v>37</v>
      </c>
      <c r="C31" s="4">
        <v>4000</v>
      </c>
      <c r="D31" s="3" t="s">
        <v>37</v>
      </c>
      <c r="E31" s="4">
        <f t="shared" si="4"/>
        <v>800</v>
      </c>
      <c r="F31" s="4">
        <f t="shared" si="3"/>
        <v>12000</v>
      </c>
    </row>
    <row r="32" spans="1:20" x14ac:dyDescent="0.25">
      <c r="A32" t="s">
        <v>66</v>
      </c>
      <c r="B32" s="4" t="s">
        <v>37</v>
      </c>
      <c r="C32" s="4">
        <v>1800</v>
      </c>
      <c r="D32" s="3" t="s">
        <v>37</v>
      </c>
      <c r="E32" s="4">
        <f t="shared" si="4"/>
        <v>360</v>
      </c>
      <c r="F32" s="4">
        <f t="shared" si="3"/>
        <v>5400</v>
      </c>
    </row>
    <row r="33" spans="1:6" x14ac:dyDescent="0.25">
      <c r="A33" t="s">
        <v>67</v>
      </c>
      <c r="B33" s="4" t="s">
        <v>37</v>
      </c>
      <c r="C33" s="4">
        <v>5000</v>
      </c>
      <c r="D33" s="3" t="s">
        <v>37</v>
      </c>
      <c r="E33" s="4">
        <f t="shared" si="4"/>
        <v>1000</v>
      </c>
      <c r="F33" s="4">
        <f t="shared" si="3"/>
        <v>15000</v>
      </c>
    </row>
    <row r="35" spans="1:6" x14ac:dyDescent="0.25">
      <c r="E35" s="1" t="s">
        <v>58</v>
      </c>
      <c r="F35" s="4">
        <f>SUM(F25:F33)</f>
        <v>55754.155200000001</v>
      </c>
    </row>
    <row r="37" spans="1:6" x14ac:dyDescent="0.25">
      <c r="A37" s="1" t="s">
        <v>116</v>
      </c>
      <c r="B37" s="1" t="s">
        <v>117</v>
      </c>
      <c r="C37" s="1" t="s">
        <v>58</v>
      </c>
    </row>
    <row r="38" spans="1:6" x14ac:dyDescent="0.25">
      <c r="A38" t="s">
        <v>120</v>
      </c>
      <c r="B38" s="8">
        <f>Q18</f>
        <v>849396.31559999997</v>
      </c>
      <c r="C38" s="8">
        <f>F35</f>
        <v>55754.155200000001</v>
      </c>
    </row>
    <row r="39" spans="1:6" x14ac:dyDescent="0.25">
      <c r="A39" t="s">
        <v>118</v>
      </c>
      <c r="B39" s="8">
        <f>BacchaX!Q21</f>
        <v>494571.24275999994</v>
      </c>
      <c r="C39" s="8">
        <f>BacchaX!F38</f>
        <v>53850</v>
      </c>
    </row>
    <row r="40" spans="1:6" x14ac:dyDescent="0.25">
      <c r="A40" t="s">
        <v>122</v>
      </c>
      <c r="B40" s="8">
        <f>'Xod-Us'!Q21</f>
        <v>587258.46560499992</v>
      </c>
      <c r="C40" s="8">
        <f>'Xod-Us'!F38</f>
        <v>54183</v>
      </c>
    </row>
    <row r="41" spans="1:6" x14ac:dyDescent="0.25">
      <c r="A41" t="s">
        <v>121</v>
      </c>
      <c r="B41" s="8">
        <f>'JamCarn X'!Q20</f>
        <v>816988.52395999979</v>
      </c>
      <c r="C41" s="8">
        <f>'JamCarn X'!F37</f>
        <v>54912.36</v>
      </c>
    </row>
    <row r="42" spans="1:6" x14ac:dyDescent="0.25">
      <c r="A42" t="s">
        <v>119</v>
      </c>
      <c r="B42" s="8">
        <f>DreamX!Q18</f>
        <v>1018096.4038000001</v>
      </c>
      <c r="C42" s="8">
        <f>DreamX!F35</f>
        <v>56727.326784000004</v>
      </c>
    </row>
  </sheetData>
  <sortState xmlns:xlrd2="http://schemas.microsoft.com/office/spreadsheetml/2017/richdata2" ref="A2:Q15">
    <sortCondition ref="B2:B15"/>
    <sortCondition ref="P2:P15"/>
  </sortState>
  <mergeCells count="2">
    <mergeCell ref="A23:T23"/>
    <mergeCell ref="A1:N1"/>
  </mergeCells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showFormulas="1" tabSelected="1" topLeftCell="C1" zoomScale="77" zoomScaleNormal="77" workbookViewId="0">
      <selection activeCell="G16" sqref="G16"/>
    </sheetView>
  </sheetViews>
  <sheetFormatPr defaultRowHeight="15" x14ac:dyDescent="0.25"/>
  <cols>
    <col min="1" max="1" width="15.140625" customWidth="1"/>
    <col min="2" max="2" width="17.28515625" customWidth="1"/>
    <col min="3" max="3" width="21.570312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2" t="s">
        <v>7</v>
      </c>
      <c r="K2" s="12"/>
      <c r="L2" s="12"/>
      <c r="M2" s="12" t="s">
        <v>8</v>
      </c>
      <c r="N2" s="12"/>
      <c r="O2" s="1" t="s">
        <v>40</v>
      </c>
      <c r="P2" s="1" t="s">
        <v>41</v>
      </c>
      <c r="Q2" s="1" t="s">
        <v>9</v>
      </c>
    </row>
    <row r="3" spans="1:20" x14ac:dyDescent="0.25">
      <c r="A3" s="2">
        <v>23569</v>
      </c>
      <c r="B3" t="s">
        <v>206</v>
      </c>
      <c r="C3" t="s">
        <v>74</v>
      </c>
      <c r="D3" s="3">
        <v>38</v>
      </c>
      <c r="E3" t="s">
        <v>29</v>
      </c>
      <c r="F3" t="s">
        <v>221</v>
      </c>
      <c r="G3" t="s">
        <v>235</v>
      </c>
      <c r="H3" t="s">
        <v>35</v>
      </c>
      <c r="I3" s="4">
        <v>425</v>
      </c>
      <c r="J3" s="4" t="s">
        <v>37</v>
      </c>
      <c r="K3" s="4" t="s">
        <v>37</v>
      </c>
      <c r="L3" s="4" t="s">
        <v>37</v>
      </c>
      <c r="M3" s="4" t="s">
        <v>39</v>
      </c>
      <c r="N3" s="5">
        <v>50</v>
      </c>
      <c r="O3" s="4">
        <f t="shared" ref="O3:O16" si="0">SUM(I3:L3)</f>
        <v>425</v>
      </c>
      <c r="P3" s="4">
        <f>O3-(O3*$T$4)+N3</f>
        <v>411.25</v>
      </c>
      <c r="Q3" s="4">
        <f t="shared" ref="Q3:Q16" si="1">P3*$T$5</f>
        <v>63706.737499999996</v>
      </c>
      <c r="S3" s="6" t="s">
        <v>42</v>
      </c>
      <c r="T3" s="7">
        <v>0.1</v>
      </c>
    </row>
    <row r="4" spans="1:20" x14ac:dyDescent="0.25">
      <c r="A4" s="2">
        <v>81527</v>
      </c>
      <c r="B4" t="s">
        <v>207</v>
      </c>
      <c r="C4" t="s">
        <v>220</v>
      </c>
      <c r="D4" s="3">
        <v>32</v>
      </c>
      <c r="E4" t="s">
        <v>28</v>
      </c>
      <c r="F4" t="s">
        <v>222</v>
      </c>
      <c r="G4" t="s">
        <v>236</v>
      </c>
      <c r="H4" t="s">
        <v>35</v>
      </c>
      <c r="I4" s="4">
        <v>425</v>
      </c>
      <c r="J4" s="4" t="s">
        <v>37</v>
      </c>
      <c r="K4" s="4" t="s">
        <v>37</v>
      </c>
      <c r="L4" s="4" t="s">
        <v>37</v>
      </c>
      <c r="M4" s="4" t="s">
        <v>38</v>
      </c>
      <c r="N4" s="5">
        <v>150</v>
      </c>
      <c r="O4" s="4">
        <f t="shared" si="0"/>
        <v>425</v>
      </c>
      <c r="P4" s="4">
        <f>O4-(O4*$T$4)+N4</f>
        <v>511.25</v>
      </c>
      <c r="Q4" s="4">
        <f t="shared" si="1"/>
        <v>79197.737500000003</v>
      </c>
      <c r="S4" s="6" t="s">
        <v>43</v>
      </c>
      <c r="T4" s="7">
        <v>0.15</v>
      </c>
    </row>
    <row r="5" spans="1:20" x14ac:dyDescent="0.25">
      <c r="A5" s="2">
        <v>98744</v>
      </c>
      <c r="B5" t="s">
        <v>208</v>
      </c>
      <c r="C5" t="s">
        <v>101</v>
      </c>
      <c r="D5" s="3">
        <v>44</v>
      </c>
      <c r="E5" t="s">
        <v>29</v>
      </c>
      <c r="F5" t="s">
        <v>223</v>
      </c>
      <c r="G5" t="s">
        <v>237</v>
      </c>
      <c r="H5" t="s">
        <v>35</v>
      </c>
      <c r="I5" s="4">
        <v>425</v>
      </c>
      <c r="J5" s="4" t="s">
        <v>37</v>
      </c>
      <c r="K5" s="4" t="s">
        <v>37</v>
      </c>
      <c r="L5" s="4" t="s">
        <v>37</v>
      </c>
      <c r="M5" s="4" t="s">
        <v>39</v>
      </c>
      <c r="N5" s="5">
        <v>50</v>
      </c>
      <c r="O5" s="4">
        <f t="shared" si="0"/>
        <v>425</v>
      </c>
      <c r="P5" s="4">
        <f>O5-(O5*$T$4)+N5</f>
        <v>411.25</v>
      </c>
      <c r="Q5" s="4">
        <f t="shared" si="1"/>
        <v>63706.737499999996</v>
      </c>
      <c r="S5" s="6" t="s">
        <v>44</v>
      </c>
      <c r="T5">
        <v>154.91</v>
      </c>
    </row>
    <row r="6" spans="1:20" x14ac:dyDescent="0.25">
      <c r="A6" s="2">
        <v>68402</v>
      </c>
      <c r="B6" t="s">
        <v>209</v>
      </c>
      <c r="C6" t="s">
        <v>109</v>
      </c>
      <c r="D6" s="3">
        <v>39</v>
      </c>
      <c r="E6" t="s">
        <v>29</v>
      </c>
      <c r="F6" t="s">
        <v>224</v>
      </c>
      <c r="G6" t="s">
        <v>238</v>
      </c>
      <c r="H6" t="s">
        <v>33</v>
      </c>
      <c r="I6" s="4" t="s">
        <v>37</v>
      </c>
      <c r="J6" s="4">
        <v>141.69999999999999</v>
      </c>
      <c r="K6" s="4" t="s">
        <v>37</v>
      </c>
      <c r="L6" s="4" t="s">
        <v>37</v>
      </c>
      <c r="M6" s="4" t="s">
        <v>39</v>
      </c>
      <c r="N6" s="5">
        <v>50</v>
      </c>
      <c r="O6" s="4">
        <f t="shared" si="0"/>
        <v>141.69999999999999</v>
      </c>
      <c r="P6" s="4">
        <f>O6+(O6*$T$3)+N6</f>
        <v>205.86999999999998</v>
      </c>
      <c r="Q6" s="4">
        <f t="shared" si="1"/>
        <v>31891.321699999997</v>
      </c>
    </row>
    <row r="7" spans="1:20" x14ac:dyDescent="0.25">
      <c r="A7" s="2">
        <v>45305</v>
      </c>
      <c r="B7" t="s">
        <v>210</v>
      </c>
      <c r="C7" t="s">
        <v>108</v>
      </c>
      <c r="D7" s="3">
        <v>33</v>
      </c>
      <c r="E7" t="s">
        <v>28</v>
      </c>
      <c r="F7" t="s">
        <v>225</v>
      </c>
      <c r="G7" t="s">
        <v>239</v>
      </c>
      <c r="H7" t="s">
        <v>33</v>
      </c>
      <c r="I7" s="4" t="s">
        <v>37</v>
      </c>
      <c r="J7" s="4">
        <v>141.69999999999999</v>
      </c>
      <c r="K7" s="4">
        <v>141.69999999999999</v>
      </c>
      <c r="L7" s="4">
        <v>141.69999999999999</v>
      </c>
      <c r="M7" s="4" t="s">
        <v>38</v>
      </c>
      <c r="N7" s="5">
        <v>150</v>
      </c>
      <c r="O7" s="4">
        <f t="shared" si="0"/>
        <v>425.09999999999997</v>
      </c>
      <c r="P7" s="4">
        <f>O7+(O7*$T$3)+N7</f>
        <v>617.6099999999999</v>
      </c>
      <c r="Q7" s="4">
        <f t="shared" si="1"/>
        <v>95673.965099999987</v>
      </c>
    </row>
    <row r="8" spans="1:20" x14ac:dyDescent="0.25">
      <c r="A8" s="2">
        <v>74128</v>
      </c>
      <c r="B8" t="s">
        <v>211</v>
      </c>
      <c r="C8" t="s">
        <v>106</v>
      </c>
      <c r="D8" s="3">
        <v>28</v>
      </c>
      <c r="E8" t="s">
        <v>28</v>
      </c>
      <c r="F8" t="s">
        <v>226</v>
      </c>
      <c r="G8" t="s">
        <v>240</v>
      </c>
      <c r="H8" t="s">
        <v>35</v>
      </c>
      <c r="I8" s="4">
        <v>425</v>
      </c>
      <c r="J8" s="4" t="s">
        <v>37</v>
      </c>
      <c r="K8" s="4" t="s">
        <v>37</v>
      </c>
      <c r="L8" s="4" t="s">
        <v>37</v>
      </c>
      <c r="M8" s="4" t="s">
        <v>38</v>
      </c>
      <c r="N8" s="5">
        <v>150</v>
      </c>
      <c r="O8" s="4">
        <f t="shared" si="0"/>
        <v>425</v>
      </c>
      <c r="P8" s="4">
        <f>O8-(O8*$T$4)+N8</f>
        <v>511.25</v>
      </c>
      <c r="Q8" s="4">
        <f t="shared" si="1"/>
        <v>79197.737500000003</v>
      </c>
    </row>
    <row r="9" spans="1:20" x14ac:dyDescent="0.25">
      <c r="A9" s="2">
        <v>36216</v>
      </c>
      <c r="B9" t="s">
        <v>212</v>
      </c>
      <c r="C9" t="s">
        <v>99</v>
      </c>
      <c r="D9" s="3">
        <v>25</v>
      </c>
      <c r="E9" t="s">
        <v>28</v>
      </c>
      <c r="F9" t="s">
        <v>227</v>
      </c>
      <c r="G9" t="s">
        <v>241</v>
      </c>
      <c r="H9" t="s">
        <v>33</v>
      </c>
      <c r="I9" s="4" t="s">
        <v>37</v>
      </c>
      <c r="J9" s="4">
        <v>141.69999999999999</v>
      </c>
      <c r="K9" s="4">
        <v>141.69999999999999</v>
      </c>
      <c r="L9" s="4" t="s">
        <v>37</v>
      </c>
      <c r="M9" s="4" t="s">
        <v>38</v>
      </c>
      <c r="N9" s="5">
        <v>150</v>
      </c>
      <c r="O9" s="4">
        <f t="shared" si="0"/>
        <v>283.39999999999998</v>
      </c>
      <c r="P9" s="4">
        <f>O7+(O7*$T$3)+N7</f>
        <v>617.6099999999999</v>
      </c>
      <c r="Q9" s="4">
        <f t="shared" si="1"/>
        <v>95673.965099999987</v>
      </c>
    </row>
    <row r="10" spans="1:20" x14ac:dyDescent="0.25">
      <c r="A10" s="2">
        <v>87391</v>
      </c>
      <c r="B10" t="s">
        <v>213</v>
      </c>
      <c r="C10" t="s">
        <v>112</v>
      </c>
      <c r="D10" s="3">
        <v>31</v>
      </c>
      <c r="E10" t="s">
        <v>28</v>
      </c>
      <c r="F10" t="s">
        <v>228</v>
      </c>
      <c r="G10" t="s">
        <v>242</v>
      </c>
      <c r="H10" t="s">
        <v>35</v>
      </c>
      <c r="I10" s="4">
        <v>425</v>
      </c>
      <c r="J10" s="4" t="s">
        <v>37</v>
      </c>
      <c r="K10" s="4" t="s">
        <v>37</v>
      </c>
      <c r="L10" s="4" t="s">
        <v>37</v>
      </c>
      <c r="M10" s="4" t="s">
        <v>39</v>
      </c>
      <c r="N10" s="5">
        <v>50</v>
      </c>
      <c r="O10" s="4">
        <f t="shared" si="0"/>
        <v>425</v>
      </c>
      <c r="P10" s="4">
        <f>O10-(O10*$T$4)+N10</f>
        <v>411.25</v>
      </c>
      <c r="Q10" s="4">
        <f t="shared" si="1"/>
        <v>63706.737499999996</v>
      </c>
    </row>
    <row r="11" spans="1:20" x14ac:dyDescent="0.25">
      <c r="A11" s="2">
        <v>87640</v>
      </c>
      <c r="B11" t="s">
        <v>214</v>
      </c>
      <c r="C11" t="s">
        <v>110</v>
      </c>
      <c r="D11" s="3">
        <v>47</v>
      </c>
      <c r="E11" t="s">
        <v>29</v>
      </c>
      <c r="F11" t="s">
        <v>229</v>
      </c>
      <c r="G11" t="s">
        <v>243</v>
      </c>
      <c r="H11" t="s">
        <v>35</v>
      </c>
      <c r="I11" s="4">
        <v>425</v>
      </c>
      <c r="J11" s="4" t="s">
        <v>37</v>
      </c>
      <c r="K11" s="4" t="s">
        <v>37</v>
      </c>
      <c r="L11" s="4" t="s">
        <v>37</v>
      </c>
      <c r="M11" s="4" t="s">
        <v>38</v>
      </c>
      <c r="N11" s="5">
        <v>150</v>
      </c>
      <c r="O11" s="4">
        <f t="shared" si="0"/>
        <v>425</v>
      </c>
      <c r="P11" s="4">
        <f>O11-(O11*$T$4)+N11</f>
        <v>511.25</v>
      </c>
      <c r="Q11" s="4">
        <f t="shared" si="1"/>
        <v>79197.737500000003</v>
      </c>
    </row>
    <row r="12" spans="1:20" x14ac:dyDescent="0.25">
      <c r="A12" s="2">
        <v>62902</v>
      </c>
      <c r="B12" t="s">
        <v>215</v>
      </c>
      <c r="C12" t="s">
        <v>107</v>
      </c>
      <c r="D12" s="3">
        <v>22</v>
      </c>
      <c r="E12" t="s">
        <v>28</v>
      </c>
      <c r="F12" t="s">
        <v>230</v>
      </c>
      <c r="G12" t="s">
        <v>244</v>
      </c>
      <c r="H12" t="s">
        <v>33</v>
      </c>
      <c r="I12" s="4" t="s">
        <v>37</v>
      </c>
      <c r="J12" s="4">
        <v>141.69999999999999</v>
      </c>
      <c r="K12" s="4">
        <v>141.69999999999999</v>
      </c>
      <c r="L12" s="4">
        <v>141.69999999999999</v>
      </c>
      <c r="M12" s="4" t="s">
        <v>38</v>
      </c>
      <c r="N12" s="5">
        <v>150</v>
      </c>
      <c r="O12" s="4">
        <f t="shared" si="0"/>
        <v>425.09999999999997</v>
      </c>
      <c r="P12" s="4">
        <f>O12+(O12*$T$3)+N12</f>
        <v>617.6099999999999</v>
      </c>
      <c r="Q12" s="4">
        <f t="shared" si="1"/>
        <v>95673.965099999987</v>
      </c>
    </row>
    <row r="13" spans="1:20" x14ac:dyDescent="0.25">
      <c r="A13" s="2">
        <v>51301</v>
      </c>
      <c r="B13" t="s">
        <v>216</v>
      </c>
      <c r="C13" t="s">
        <v>111</v>
      </c>
      <c r="D13" s="3">
        <v>23</v>
      </c>
      <c r="E13" t="s">
        <v>28</v>
      </c>
      <c r="F13" t="s">
        <v>231</v>
      </c>
      <c r="G13" t="s">
        <v>245</v>
      </c>
      <c r="H13" t="s">
        <v>35</v>
      </c>
      <c r="I13" s="4">
        <v>425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0"/>
        <v>425</v>
      </c>
      <c r="P13" s="4">
        <f>O13-(O13*$T$4)+N13</f>
        <v>411.25</v>
      </c>
      <c r="Q13" s="4">
        <f t="shared" si="1"/>
        <v>63706.737499999996</v>
      </c>
    </row>
    <row r="14" spans="1:20" x14ac:dyDescent="0.25">
      <c r="A14" s="2">
        <v>29872</v>
      </c>
      <c r="B14" t="s">
        <v>105</v>
      </c>
      <c r="C14" t="s">
        <v>217</v>
      </c>
      <c r="D14" s="3">
        <v>19</v>
      </c>
      <c r="E14" t="s">
        <v>28</v>
      </c>
      <c r="F14" t="s">
        <v>232</v>
      </c>
      <c r="G14" t="s">
        <v>246</v>
      </c>
      <c r="H14" t="s">
        <v>35</v>
      </c>
      <c r="I14" s="4">
        <v>425</v>
      </c>
      <c r="J14" s="4" t="s">
        <v>37</v>
      </c>
      <c r="K14" s="4" t="s">
        <v>37</v>
      </c>
      <c r="L14" s="4" t="s">
        <v>37</v>
      </c>
      <c r="M14" s="4" t="s">
        <v>38</v>
      </c>
      <c r="N14" s="5">
        <v>150</v>
      </c>
      <c r="O14" s="4">
        <f t="shared" si="0"/>
        <v>425</v>
      </c>
      <c r="P14" s="4">
        <f>O14-(O14*$T$4)+N14</f>
        <v>511.25</v>
      </c>
      <c r="Q14" s="4">
        <f t="shared" si="1"/>
        <v>79197.737500000003</v>
      </c>
    </row>
    <row r="15" spans="1:20" x14ac:dyDescent="0.25">
      <c r="A15" s="2">
        <v>14685</v>
      </c>
      <c r="B15" t="s">
        <v>103</v>
      </c>
      <c r="C15" t="s">
        <v>218</v>
      </c>
      <c r="D15" s="3">
        <v>30</v>
      </c>
      <c r="E15" t="s">
        <v>29</v>
      </c>
      <c r="F15" t="s">
        <v>233</v>
      </c>
      <c r="G15" t="s">
        <v>247</v>
      </c>
      <c r="H15" t="s">
        <v>33</v>
      </c>
      <c r="I15" s="4" t="s">
        <v>37</v>
      </c>
      <c r="J15" s="4">
        <v>141.69999999999999</v>
      </c>
      <c r="K15" s="4">
        <v>141.69999999999999</v>
      </c>
      <c r="L15" s="4">
        <v>141.69999999999999</v>
      </c>
      <c r="M15" s="4" t="s">
        <v>39</v>
      </c>
      <c r="N15" s="5">
        <v>50</v>
      </c>
      <c r="O15" s="4">
        <f t="shared" si="0"/>
        <v>425.09999999999997</v>
      </c>
      <c r="P15" s="4">
        <f>O15+(O15*$T$3)+N15</f>
        <v>517.6099999999999</v>
      </c>
      <c r="Q15" s="4">
        <f t="shared" si="1"/>
        <v>80182.965099999987</v>
      </c>
    </row>
    <row r="16" spans="1:20" x14ac:dyDescent="0.25">
      <c r="A16" s="2">
        <v>30959</v>
      </c>
      <c r="B16" t="s">
        <v>104</v>
      </c>
      <c r="C16" t="s">
        <v>219</v>
      </c>
      <c r="D16" s="3">
        <v>21</v>
      </c>
      <c r="E16" t="s">
        <v>28</v>
      </c>
      <c r="F16" t="s">
        <v>234</v>
      </c>
      <c r="G16" t="s">
        <v>248</v>
      </c>
      <c r="H16" t="s">
        <v>33</v>
      </c>
      <c r="I16" s="4" t="s">
        <v>37</v>
      </c>
      <c r="J16" s="4">
        <v>141.69999999999999</v>
      </c>
      <c r="K16" s="4" t="s">
        <v>37</v>
      </c>
      <c r="L16" s="4" t="s">
        <v>37</v>
      </c>
      <c r="M16" s="4" t="s">
        <v>38</v>
      </c>
      <c r="N16" s="5">
        <v>150</v>
      </c>
      <c r="O16" s="4">
        <f t="shared" si="0"/>
        <v>141.69999999999999</v>
      </c>
      <c r="P16" s="4">
        <f>O16+(O16*$T$3)+N16</f>
        <v>305.87</v>
      </c>
      <c r="Q16" s="4">
        <f t="shared" si="1"/>
        <v>47382.3217</v>
      </c>
    </row>
    <row r="18" spans="1:20" x14ac:dyDescent="0.25">
      <c r="A18" s="6" t="s">
        <v>48</v>
      </c>
      <c r="C18">
        <f>COUNT(A2:A16)</f>
        <v>14</v>
      </c>
      <c r="O18" s="1" t="s">
        <v>46</v>
      </c>
      <c r="P18" s="8">
        <f>SUM(P3:P16)</f>
        <v>6572.1799999999985</v>
      </c>
      <c r="Q18" s="8">
        <f>SUM(Q3:Q16)</f>
        <v>1018096.4038000001</v>
      </c>
    </row>
    <row r="19" spans="1:20" x14ac:dyDescent="0.25">
      <c r="A19" s="6" t="s">
        <v>47</v>
      </c>
      <c r="C19" s="8">
        <f>SUM(O3:O16)</f>
        <v>5242.1000000000004</v>
      </c>
    </row>
    <row r="20" spans="1:20" x14ac:dyDescent="0.25">
      <c r="A20" s="6" t="s">
        <v>49</v>
      </c>
      <c r="C20" s="8">
        <f>SUMIF(N3:N16,"=150")</f>
        <v>1200</v>
      </c>
    </row>
    <row r="21" spans="1:20" x14ac:dyDescent="0.25">
      <c r="A21" s="6" t="s">
        <v>50</v>
      </c>
      <c r="C21" s="8">
        <f>SUM(P3:P16)</f>
        <v>6572.1799999999985</v>
      </c>
    </row>
    <row r="23" spans="1:20" ht="28.5" x14ac:dyDescent="0.45">
      <c r="A23" s="11" t="s">
        <v>51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57</v>
      </c>
    </row>
    <row r="25" spans="1:20" x14ac:dyDescent="0.25">
      <c r="A25" t="s">
        <v>59</v>
      </c>
      <c r="B25" s="4">
        <v>60</v>
      </c>
      <c r="C25" s="3" t="s">
        <v>37</v>
      </c>
      <c r="D25" s="9">
        <v>0.2</v>
      </c>
      <c r="E25" s="4">
        <f>'Fant-X'!E25*D25+'Fant-X'!E25</f>
        <v>124.41600000000001</v>
      </c>
      <c r="F25" s="4">
        <f>PRODUCT(E25,15)</f>
        <v>1866.2400000000002</v>
      </c>
    </row>
    <row r="26" spans="1:20" x14ac:dyDescent="0.25">
      <c r="A26" t="s">
        <v>60</v>
      </c>
      <c r="B26" s="4">
        <v>40</v>
      </c>
      <c r="C26" s="3" t="s">
        <v>37</v>
      </c>
      <c r="D26" s="9">
        <v>0.2</v>
      </c>
      <c r="E26" s="4">
        <f>'Fant-X'!E26*D26+'Fant-X'!E26</f>
        <v>82.944000000000003</v>
      </c>
      <c r="F26" s="4">
        <f t="shared" ref="F26:F33" si="2">PRODUCT(E26,15)</f>
        <v>1244.1600000000001</v>
      </c>
    </row>
    <row r="27" spans="1:20" x14ac:dyDescent="0.25">
      <c r="A27" t="s">
        <v>61</v>
      </c>
      <c r="B27" s="4">
        <v>135</v>
      </c>
      <c r="C27" s="3" t="s">
        <v>37</v>
      </c>
      <c r="D27" s="9">
        <v>0.12</v>
      </c>
      <c r="E27" s="4">
        <f>'Fant-X'!E27*D27+'Fant-X'!E27</f>
        <v>212.4251136</v>
      </c>
      <c r="F27" s="4">
        <f>PRODUCT(E27,15)</f>
        <v>3186.3767040000002</v>
      </c>
    </row>
    <row r="28" spans="1:20" x14ac:dyDescent="0.25">
      <c r="A28" t="s">
        <v>62</v>
      </c>
      <c r="B28" s="4">
        <v>75</v>
      </c>
      <c r="C28" s="3" t="s">
        <v>37</v>
      </c>
      <c r="D28" s="9">
        <v>0.08</v>
      </c>
      <c r="E28" s="4">
        <f>'Fant-X'!E28*D28+'Fant-X'!E28</f>
        <v>102.03667200000001</v>
      </c>
      <c r="F28" s="4">
        <f t="shared" si="2"/>
        <v>1530.5500800000002</v>
      </c>
    </row>
    <row r="29" spans="1:20" x14ac:dyDescent="0.25">
      <c r="A29" t="s">
        <v>63</v>
      </c>
      <c r="B29" s="4" t="s">
        <v>37</v>
      </c>
      <c r="C29" s="4">
        <v>3000</v>
      </c>
      <c r="D29" s="3" t="s">
        <v>37</v>
      </c>
      <c r="E29" s="4">
        <f>C29/5</f>
        <v>600</v>
      </c>
      <c r="F29" s="4">
        <f t="shared" si="2"/>
        <v>9000</v>
      </c>
    </row>
    <row r="30" spans="1:20" x14ac:dyDescent="0.25">
      <c r="A30" t="s">
        <v>64</v>
      </c>
      <c r="B30" s="4" t="s">
        <v>37</v>
      </c>
      <c r="C30" s="4">
        <v>2500</v>
      </c>
      <c r="D30" s="3" t="s">
        <v>37</v>
      </c>
      <c r="E30" s="4">
        <f t="shared" ref="E30:E33" si="3">C30/5</f>
        <v>500</v>
      </c>
      <c r="F30" s="4">
        <f t="shared" si="2"/>
        <v>7500</v>
      </c>
    </row>
    <row r="31" spans="1:20" x14ac:dyDescent="0.25">
      <c r="A31" t="s">
        <v>65</v>
      </c>
      <c r="B31" s="4" t="s">
        <v>37</v>
      </c>
      <c r="C31" s="4">
        <v>4000</v>
      </c>
      <c r="D31" s="3" t="s">
        <v>37</v>
      </c>
      <c r="E31" s="4">
        <f t="shared" si="3"/>
        <v>800</v>
      </c>
      <c r="F31" s="4">
        <f t="shared" si="2"/>
        <v>12000</v>
      </c>
    </row>
    <row r="32" spans="1:20" x14ac:dyDescent="0.25">
      <c r="A32" t="s">
        <v>66</v>
      </c>
      <c r="B32" s="4" t="s">
        <v>37</v>
      </c>
      <c r="C32" s="4">
        <v>1800</v>
      </c>
      <c r="D32" s="3" t="s">
        <v>37</v>
      </c>
      <c r="E32" s="4">
        <f t="shared" si="3"/>
        <v>360</v>
      </c>
      <c r="F32" s="4">
        <f t="shared" si="2"/>
        <v>5400</v>
      </c>
    </row>
    <row r="33" spans="1:6" x14ac:dyDescent="0.25">
      <c r="A33" t="s">
        <v>67</v>
      </c>
      <c r="B33" s="4" t="s">
        <v>37</v>
      </c>
      <c r="C33" s="4">
        <v>5000</v>
      </c>
      <c r="D33" s="3" t="s">
        <v>37</v>
      </c>
      <c r="E33" s="4">
        <f t="shared" si="3"/>
        <v>1000</v>
      </c>
      <c r="F33" s="4">
        <f t="shared" si="2"/>
        <v>15000</v>
      </c>
    </row>
    <row r="35" spans="1:6" x14ac:dyDescent="0.25">
      <c r="E35" s="1" t="s">
        <v>58</v>
      </c>
      <c r="F35" s="4">
        <f>SUM(F25:F33)</f>
        <v>56727.326784000004</v>
      </c>
    </row>
    <row r="37" spans="1:6" x14ac:dyDescent="0.25">
      <c r="A37" s="1" t="s">
        <v>116</v>
      </c>
      <c r="B37" s="1" t="s">
        <v>117</v>
      </c>
      <c r="C37" s="1" t="s">
        <v>58</v>
      </c>
    </row>
    <row r="38" spans="1:6" x14ac:dyDescent="0.25">
      <c r="A38" t="s">
        <v>119</v>
      </c>
      <c r="B38" s="8">
        <f>Q18</f>
        <v>1018096.4038000001</v>
      </c>
      <c r="C38" s="8">
        <f>F35</f>
        <v>56727.326784000004</v>
      </c>
    </row>
    <row r="39" spans="1:6" x14ac:dyDescent="0.25">
      <c r="A39" t="s">
        <v>118</v>
      </c>
      <c r="B39" s="8">
        <f>BacchaX!Q21</f>
        <v>494571.24275999994</v>
      </c>
      <c r="C39" s="8">
        <f>BacchaX!F38</f>
        <v>53850</v>
      </c>
    </row>
    <row r="40" spans="1:6" x14ac:dyDescent="0.25">
      <c r="A40" t="s">
        <v>122</v>
      </c>
      <c r="B40" s="8">
        <f>'Xod-Us'!Q21</f>
        <v>587258.46560499992</v>
      </c>
      <c r="C40" s="8">
        <f>'Xod-Us'!F38</f>
        <v>54183</v>
      </c>
    </row>
    <row r="41" spans="1:6" x14ac:dyDescent="0.25">
      <c r="A41" t="s">
        <v>121</v>
      </c>
      <c r="B41" s="8">
        <f>'JamCarn X'!Q20</f>
        <v>816988.52395999979</v>
      </c>
      <c r="C41" s="8">
        <f>'JamCarn X'!F37</f>
        <v>54912.36</v>
      </c>
    </row>
    <row r="42" spans="1:6" x14ac:dyDescent="0.25">
      <c r="A42" t="s">
        <v>124</v>
      </c>
      <c r="B42" s="8">
        <f>'Fant-X'!Q18</f>
        <v>849396.31559999997</v>
      </c>
      <c r="C42" s="8">
        <f>'Fant-X'!F35</f>
        <v>55754.155200000001</v>
      </c>
    </row>
    <row r="43" spans="1:6" x14ac:dyDescent="0.25">
      <c r="B43" s="8"/>
      <c r="C43" s="8"/>
    </row>
  </sheetData>
  <autoFilter ref="A37:C42" xr:uid="{00000000-0009-0000-0000-000004000000}"/>
  <sortState xmlns:xlrd2="http://schemas.microsoft.com/office/spreadsheetml/2017/richdata2" ref="A2:Q15">
    <sortCondition ref="B2:B15"/>
    <sortCondition ref="P2:P15"/>
  </sortState>
  <mergeCells count="4">
    <mergeCell ref="J2:L2"/>
    <mergeCell ref="M2:N2"/>
    <mergeCell ref="A23:T23"/>
    <mergeCell ref="A1:T1"/>
  </mergeCells>
  <pageMargins left="0.7" right="0.7" top="0.75" bottom="0.75" header="0.3" footer="0.3"/>
  <pageSetup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9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8.7109375" bestFit="1" customWidth="1"/>
    <col min="3" max="3" width="22.5703125" bestFit="1" customWidth="1"/>
  </cols>
  <sheetData>
    <row r="3" spans="1:3" x14ac:dyDescent="0.25">
      <c r="A3" s="10" t="s">
        <v>126</v>
      </c>
      <c r="B3" t="s">
        <v>128</v>
      </c>
      <c r="C3" t="s">
        <v>129</v>
      </c>
    </row>
    <row r="4" spans="1:3" x14ac:dyDescent="0.25">
      <c r="A4" s="2" t="s">
        <v>118</v>
      </c>
      <c r="B4">
        <v>494571.24275999994</v>
      </c>
      <c r="C4">
        <v>53850</v>
      </c>
    </row>
    <row r="5" spans="1:3" x14ac:dyDescent="0.25">
      <c r="A5" s="2" t="s">
        <v>119</v>
      </c>
      <c r="B5">
        <v>1018096.4038000001</v>
      </c>
      <c r="C5">
        <v>56727.326784000004</v>
      </c>
    </row>
    <row r="6" spans="1:3" x14ac:dyDescent="0.25">
      <c r="A6" s="2" t="s">
        <v>124</v>
      </c>
      <c r="B6">
        <v>849396.31559999997</v>
      </c>
      <c r="C6">
        <v>55754.155200000001</v>
      </c>
    </row>
    <row r="7" spans="1:3" x14ac:dyDescent="0.25">
      <c r="A7" s="2" t="s">
        <v>121</v>
      </c>
      <c r="B7">
        <v>816988.52395999979</v>
      </c>
      <c r="C7">
        <v>54912.36</v>
      </c>
    </row>
    <row r="8" spans="1:3" x14ac:dyDescent="0.25">
      <c r="A8" s="2" t="s">
        <v>122</v>
      </c>
      <c r="B8">
        <v>587258.46560499992</v>
      </c>
      <c r="C8">
        <v>54183</v>
      </c>
    </row>
    <row r="9" spans="1:3" x14ac:dyDescent="0.25">
      <c r="A9" s="2" t="s">
        <v>127</v>
      </c>
      <c r="B9">
        <v>3766310.951725</v>
      </c>
      <c r="C9">
        <v>275426.841984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BacchaX</vt:lpstr>
      <vt:lpstr>Xod-Us</vt:lpstr>
      <vt:lpstr>JamCarn X</vt:lpstr>
      <vt:lpstr>Fant-X</vt:lpstr>
      <vt:lpstr>DreamX</vt:lpstr>
      <vt:lpstr>Pivot Table</vt:lpstr>
      <vt:lpstr>Income vs 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Elessia Harrison</cp:lastModifiedBy>
  <dcterms:created xsi:type="dcterms:W3CDTF">2024-04-11T18:12:30Z</dcterms:created>
  <dcterms:modified xsi:type="dcterms:W3CDTF">2026-04-11T23:03:48Z</dcterms:modified>
</cp:coreProperties>
</file>