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.T Elessia Harrison\Masqueraders\"/>
    </mc:Choice>
  </mc:AlternateContent>
  <xr:revisionPtr revIDLastSave="0" documentId="13_ncr:1_{F477A6A5-CED5-4415-85EC-2E76321F2FD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BacchahX" sheetId="1" r:id="rId1"/>
    <sheet name="Xod-Us" sheetId="2" r:id="rId2"/>
    <sheet name="JamCam X" sheetId="3" r:id="rId3"/>
    <sheet name="Fant-X" sheetId="4" r:id="rId4"/>
    <sheet name="Dream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5tAT30VGQlaNiqFm56tJsOOve/3Zo3lL9KYh+aTVmgY="/>
    </ext>
  </extLst>
</workbook>
</file>

<file path=xl/calcChain.xml><?xml version="1.0" encoding="utf-8"?>
<calcChain xmlns="http://schemas.openxmlformats.org/spreadsheetml/2006/main">
  <c r="E34" i="5" l="1"/>
  <c r="F34" i="5" s="1"/>
  <c r="E33" i="5"/>
  <c r="F33" i="5" s="1"/>
  <c r="F32" i="5"/>
  <c r="E32" i="5"/>
  <c r="F31" i="5"/>
  <c r="E31" i="5"/>
  <c r="F30" i="5"/>
  <c r="E30" i="5"/>
  <c r="C21" i="5"/>
  <c r="C19" i="5"/>
  <c r="O17" i="5"/>
  <c r="P17" i="5" s="1"/>
  <c r="Q17" i="5" s="1"/>
  <c r="Q16" i="5"/>
  <c r="P16" i="5"/>
  <c r="O16" i="5"/>
  <c r="P15" i="5"/>
  <c r="Q15" i="5" s="1"/>
  <c r="O15" i="5"/>
  <c r="O14" i="5"/>
  <c r="P14" i="5" s="1"/>
  <c r="Q14" i="5" s="1"/>
  <c r="O13" i="5"/>
  <c r="P13" i="5" s="1"/>
  <c r="Q13" i="5" s="1"/>
  <c r="Q12" i="5"/>
  <c r="P12" i="5"/>
  <c r="O12" i="5"/>
  <c r="P11" i="5"/>
  <c r="Q11" i="5" s="1"/>
  <c r="O11" i="5"/>
  <c r="O10" i="5"/>
  <c r="P10" i="5" s="1"/>
  <c r="Q10" i="5" s="1"/>
  <c r="O9" i="5"/>
  <c r="P9" i="5" s="1"/>
  <c r="Q9" i="5" s="1"/>
  <c r="Q8" i="5"/>
  <c r="P8" i="5"/>
  <c r="O8" i="5"/>
  <c r="P7" i="5"/>
  <c r="Q7" i="5" s="1"/>
  <c r="O7" i="5"/>
  <c r="P6" i="5"/>
  <c r="Q6" i="5" s="1"/>
  <c r="O6" i="5"/>
  <c r="O5" i="5"/>
  <c r="P5" i="5" s="1"/>
  <c r="Q5" i="5" s="1"/>
  <c r="Q4" i="5"/>
  <c r="P4" i="5"/>
  <c r="O4" i="5"/>
  <c r="P3" i="5"/>
  <c r="O3" i="5"/>
  <c r="C20" i="5" s="1"/>
  <c r="E34" i="4"/>
  <c r="F34" i="4" s="1"/>
  <c r="F33" i="4"/>
  <c r="E33" i="4"/>
  <c r="E32" i="4"/>
  <c r="F32" i="4" s="1"/>
  <c r="F31" i="4"/>
  <c r="E31" i="4"/>
  <c r="E30" i="4"/>
  <c r="F30" i="4" s="1"/>
  <c r="C21" i="4"/>
  <c r="C19" i="4"/>
  <c r="P17" i="4"/>
  <c r="Q17" i="4" s="1"/>
  <c r="O17" i="4"/>
  <c r="O16" i="4"/>
  <c r="P16" i="4" s="1"/>
  <c r="Q16" i="4" s="1"/>
  <c r="P15" i="4"/>
  <c r="Q15" i="4" s="1"/>
  <c r="O15" i="4"/>
  <c r="O14" i="4"/>
  <c r="P14" i="4" s="1"/>
  <c r="Q14" i="4" s="1"/>
  <c r="P13" i="4"/>
  <c r="Q13" i="4" s="1"/>
  <c r="O13" i="4"/>
  <c r="O12" i="4"/>
  <c r="P12" i="4" s="1"/>
  <c r="Q12" i="4" s="1"/>
  <c r="P11" i="4"/>
  <c r="Q11" i="4" s="1"/>
  <c r="O11" i="4"/>
  <c r="O10" i="4"/>
  <c r="P10" i="4" s="1"/>
  <c r="Q10" i="4" s="1"/>
  <c r="P9" i="4"/>
  <c r="Q9" i="4" s="1"/>
  <c r="O9" i="4"/>
  <c r="O8" i="4"/>
  <c r="P8" i="4" s="1"/>
  <c r="Q8" i="4" s="1"/>
  <c r="P7" i="4"/>
  <c r="Q7" i="4" s="1"/>
  <c r="O7" i="4"/>
  <c r="O6" i="4"/>
  <c r="P6" i="4" s="1"/>
  <c r="Q6" i="4" s="1"/>
  <c r="P5" i="4"/>
  <c r="Q5" i="4" s="1"/>
  <c r="O5" i="4"/>
  <c r="O4" i="4"/>
  <c r="P4" i="4" s="1"/>
  <c r="Q4" i="4" s="1"/>
  <c r="P3" i="4"/>
  <c r="O3" i="4"/>
  <c r="C20" i="4" s="1"/>
  <c r="E34" i="3"/>
  <c r="F34" i="3" s="1"/>
  <c r="E33" i="3"/>
  <c r="F33" i="3" s="1"/>
  <c r="E32" i="3"/>
  <c r="F32" i="3" s="1"/>
  <c r="E31" i="3"/>
  <c r="F31" i="3" s="1"/>
  <c r="E30" i="3"/>
  <c r="F30" i="3" s="1"/>
  <c r="C21" i="3"/>
  <c r="C19" i="3"/>
  <c r="P17" i="3"/>
  <c r="Q17" i="3" s="1"/>
  <c r="O17" i="3"/>
  <c r="O16" i="3"/>
  <c r="P16" i="3" s="1"/>
  <c r="Q16" i="3" s="1"/>
  <c r="P15" i="3"/>
  <c r="Q15" i="3" s="1"/>
  <c r="O15" i="3"/>
  <c r="O14" i="3"/>
  <c r="P14" i="3" s="1"/>
  <c r="Q14" i="3" s="1"/>
  <c r="P13" i="3"/>
  <c r="Q13" i="3" s="1"/>
  <c r="O13" i="3"/>
  <c r="O12" i="3"/>
  <c r="P12" i="3" s="1"/>
  <c r="Q12" i="3" s="1"/>
  <c r="P11" i="3"/>
  <c r="Q11" i="3" s="1"/>
  <c r="O11" i="3"/>
  <c r="O10" i="3"/>
  <c r="P10" i="3" s="1"/>
  <c r="Q10" i="3" s="1"/>
  <c r="P9" i="3"/>
  <c r="Q9" i="3" s="1"/>
  <c r="O9" i="3"/>
  <c r="O8" i="3"/>
  <c r="P8" i="3" s="1"/>
  <c r="Q8" i="3" s="1"/>
  <c r="P7" i="3"/>
  <c r="Q7" i="3" s="1"/>
  <c r="O7" i="3"/>
  <c r="O6" i="3"/>
  <c r="P6" i="3" s="1"/>
  <c r="Q6" i="3" s="1"/>
  <c r="P5" i="3"/>
  <c r="Q5" i="3" s="1"/>
  <c r="O5" i="3"/>
  <c r="O4" i="3"/>
  <c r="P4" i="3" s="1"/>
  <c r="Q4" i="3" s="1"/>
  <c r="P3" i="3"/>
  <c r="O3" i="3"/>
  <c r="C20" i="3" s="1"/>
  <c r="E34" i="2"/>
  <c r="F34" i="2" s="1"/>
  <c r="E33" i="2"/>
  <c r="F33" i="2" s="1"/>
  <c r="E32" i="2"/>
  <c r="F32" i="2" s="1"/>
  <c r="E31" i="2"/>
  <c r="F31" i="2" s="1"/>
  <c r="E30" i="2"/>
  <c r="F30" i="2" s="1"/>
  <c r="E29" i="2"/>
  <c r="E28" i="2"/>
  <c r="E28" i="3" s="1"/>
  <c r="E27" i="2"/>
  <c r="E26" i="2"/>
  <c r="E26" i="3" s="1"/>
  <c r="C21" i="2"/>
  <c r="C19" i="2"/>
  <c r="P17" i="2"/>
  <c r="Q17" i="2" s="1"/>
  <c r="O17" i="2"/>
  <c r="O16" i="2"/>
  <c r="P16" i="2" s="1"/>
  <c r="Q16" i="2" s="1"/>
  <c r="P15" i="2"/>
  <c r="Q15" i="2" s="1"/>
  <c r="O15" i="2"/>
  <c r="O14" i="2"/>
  <c r="P14" i="2" s="1"/>
  <c r="Q14" i="2" s="1"/>
  <c r="P13" i="2"/>
  <c r="Q13" i="2" s="1"/>
  <c r="O13" i="2"/>
  <c r="O12" i="2"/>
  <c r="P12" i="2" s="1"/>
  <c r="Q12" i="2" s="1"/>
  <c r="P11" i="2"/>
  <c r="Q11" i="2" s="1"/>
  <c r="O11" i="2"/>
  <c r="O10" i="2"/>
  <c r="P10" i="2" s="1"/>
  <c r="Q10" i="2" s="1"/>
  <c r="P9" i="2"/>
  <c r="Q9" i="2" s="1"/>
  <c r="O9" i="2"/>
  <c r="O8" i="2"/>
  <c r="P8" i="2" s="1"/>
  <c r="Q8" i="2" s="1"/>
  <c r="P7" i="2"/>
  <c r="Q7" i="2" s="1"/>
  <c r="O7" i="2"/>
  <c r="O6" i="2"/>
  <c r="P6" i="2" s="1"/>
  <c r="Q6" i="2" s="1"/>
  <c r="P5" i="2"/>
  <c r="Q5" i="2" s="1"/>
  <c r="O5" i="2"/>
  <c r="O4" i="2"/>
  <c r="P4" i="2" s="1"/>
  <c r="Q4" i="2" s="1"/>
  <c r="P3" i="2"/>
  <c r="C22" i="2" s="1"/>
  <c r="O3" i="2"/>
  <c r="C20" i="2" s="1"/>
  <c r="E34" i="1"/>
  <c r="F34" i="1" s="1"/>
  <c r="E33" i="1"/>
  <c r="F33" i="1" s="1"/>
  <c r="E32" i="1"/>
  <c r="F32" i="1" s="1"/>
  <c r="E31" i="1"/>
  <c r="F31" i="1" s="1"/>
  <c r="E30" i="1"/>
  <c r="F30" i="1" s="1"/>
  <c r="E29" i="1"/>
  <c r="E28" i="1"/>
  <c r="E27" i="1"/>
  <c r="E26" i="1"/>
  <c r="C21" i="1"/>
  <c r="C19" i="1"/>
  <c r="P17" i="1"/>
  <c r="Q17" i="1" s="1"/>
  <c r="O17" i="1"/>
  <c r="O16" i="1"/>
  <c r="P16" i="1" s="1"/>
  <c r="Q16" i="1" s="1"/>
  <c r="P15" i="1"/>
  <c r="Q15" i="1" s="1"/>
  <c r="O15" i="1"/>
  <c r="O14" i="1"/>
  <c r="P14" i="1" s="1"/>
  <c r="Q14" i="1" s="1"/>
  <c r="P13" i="1"/>
  <c r="Q13" i="1" s="1"/>
  <c r="O13" i="1"/>
  <c r="O12" i="1"/>
  <c r="P12" i="1" s="1"/>
  <c r="Q12" i="1" s="1"/>
  <c r="P11" i="1"/>
  <c r="Q11" i="1" s="1"/>
  <c r="O11" i="1"/>
  <c r="O10" i="1"/>
  <c r="P10" i="1" s="1"/>
  <c r="Q10" i="1" s="1"/>
  <c r="P9" i="1"/>
  <c r="Q9" i="1" s="1"/>
  <c r="O9" i="1"/>
  <c r="O8" i="1"/>
  <c r="P8" i="1" s="1"/>
  <c r="Q8" i="1" s="1"/>
  <c r="P7" i="1"/>
  <c r="Q7" i="1" s="1"/>
  <c r="O7" i="1"/>
  <c r="O6" i="1"/>
  <c r="P6" i="1" s="1"/>
  <c r="Q6" i="1" s="1"/>
  <c r="P5" i="1"/>
  <c r="Q5" i="1" s="1"/>
  <c r="O5" i="1"/>
  <c r="O4" i="1"/>
  <c r="P4" i="1" s="1"/>
  <c r="Q4" i="1" s="1"/>
  <c r="P3" i="1"/>
  <c r="O3" i="1"/>
  <c r="C20" i="1" s="1"/>
  <c r="F27" i="2" l="1"/>
  <c r="F29" i="2"/>
  <c r="F29" i="1"/>
  <c r="F26" i="1"/>
  <c r="F27" i="1"/>
  <c r="F28" i="1"/>
  <c r="F26" i="3"/>
  <c r="E26" i="4"/>
  <c r="C22" i="5"/>
  <c r="C22" i="4"/>
  <c r="F28" i="3"/>
  <c r="E28" i="4"/>
  <c r="C22" i="3"/>
  <c r="C22" i="1"/>
  <c r="E27" i="3"/>
  <c r="E29" i="3"/>
  <c r="Q3" i="1"/>
  <c r="Q19" i="1" s="1"/>
  <c r="P19" i="1"/>
  <c r="F26" i="2"/>
  <c r="F28" i="2"/>
  <c r="Q3" i="3"/>
  <c r="Q19" i="3" s="1"/>
  <c r="P19" i="3"/>
  <c r="Q3" i="5"/>
  <c r="Q19" i="5" s="1"/>
  <c r="P19" i="5"/>
  <c r="Q3" i="2"/>
  <c r="Q19" i="2" s="1"/>
  <c r="P19" i="2"/>
  <c r="Q3" i="4"/>
  <c r="Q19" i="4" s="1"/>
  <c r="P19" i="4"/>
  <c r="F36" i="2" l="1"/>
  <c r="F36" i="1"/>
  <c r="E29" i="4"/>
  <c r="F29" i="3"/>
  <c r="E28" i="5"/>
  <c r="F28" i="5" s="1"/>
  <c r="F28" i="4"/>
  <c r="E27" i="4"/>
  <c r="F27" i="3"/>
  <c r="E26" i="5"/>
  <c r="F26" i="5" s="1"/>
  <c r="F26" i="4"/>
  <c r="F36" i="3"/>
  <c r="E27" i="5" l="1"/>
  <c r="F27" i="5" s="1"/>
  <c r="F36" i="5" s="1"/>
  <c r="F27" i="4"/>
  <c r="F36" i="4" s="1"/>
  <c r="E29" i="5"/>
  <c r="F29" i="5" s="1"/>
  <c r="F29" i="4"/>
</calcChain>
</file>

<file path=xl/sharedStrings.xml><?xml version="1.0" encoding="utf-8"?>
<sst xmlns="http://schemas.openxmlformats.org/spreadsheetml/2006/main" count="992" uniqueCount="303">
  <si>
    <t>Income</t>
  </si>
  <si>
    <t>ID Number</t>
  </si>
  <si>
    <t>First name</t>
  </si>
  <si>
    <t>Last Name</t>
  </si>
  <si>
    <t>Age</t>
  </si>
  <si>
    <t>Gender</t>
  </si>
  <si>
    <t>Address</t>
  </si>
  <si>
    <t>Phone Number</t>
  </si>
  <si>
    <t>Costume Payment Option</t>
  </si>
  <si>
    <t>Full Payment</t>
  </si>
  <si>
    <t>Installments</t>
  </si>
  <si>
    <t>Inclusive Fee Option</t>
  </si>
  <si>
    <t>Total Costume Amount</t>
  </si>
  <si>
    <t>Total Payment in USD</t>
  </si>
  <si>
    <t>Total Payment in JMD</t>
  </si>
  <si>
    <t>Emily</t>
  </si>
  <si>
    <t>Johnson</t>
  </si>
  <si>
    <t>Female</t>
  </si>
  <si>
    <t>231 Maple Street</t>
  </si>
  <si>
    <t>(876) 253-2857</t>
  </si>
  <si>
    <t>Installment</t>
  </si>
  <si>
    <t>-</t>
  </si>
  <si>
    <t>Full</t>
  </si>
  <si>
    <t>Interest</t>
  </si>
  <si>
    <t>Micheal</t>
  </si>
  <si>
    <t>Smith</t>
  </si>
  <si>
    <t>Male</t>
  </si>
  <si>
    <t>476 Oak Avenue</t>
  </si>
  <si>
    <t>(876) 756-485</t>
  </si>
  <si>
    <t>Discount</t>
  </si>
  <si>
    <t>Sophia</t>
  </si>
  <si>
    <t>Wiliams</t>
  </si>
  <si>
    <t>879 Pine Road</t>
  </si>
  <si>
    <t>(876)738-4989</t>
  </si>
  <si>
    <t>Single Payment</t>
  </si>
  <si>
    <t>JMD Equivalent</t>
  </si>
  <si>
    <t>Benjamin</t>
  </si>
  <si>
    <t>Brown</t>
  </si>
  <si>
    <t>101 Elm Lane</t>
  </si>
  <si>
    <t>(876) 948-3947</t>
  </si>
  <si>
    <t>Partial</t>
  </si>
  <si>
    <t>Olivia</t>
  </si>
  <si>
    <t>Jones</t>
  </si>
  <si>
    <t>647 Cedar Street</t>
  </si>
  <si>
    <t>(876) 378-9387</t>
  </si>
  <si>
    <t>Single Playment</t>
  </si>
  <si>
    <t>Jacob</t>
  </si>
  <si>
    <t>Davis</t>
  </si>
  <si>
    <t>756 Birch Boluevard</t>
  </si>
  <si>
    <t>(876) 378-9388</t>
  </si>
  <si>
    <t>Isabella</t>
  </si>
  <si>
    <t>Taylor</t>
  </si>
  <si>
    <t>890 Willow Drive</t>
  </si>
  <si>
    <t>(876) 368-9389</t>
  </si>
  <si>
    <t>Matthew</t>
  </si>
  <si>
    <t>Martinez</t>
  </si>
  <si>
    <t>121 Magnolia Court</t>
  </si>
  <si>
    <t>(876) 336-9390</t>
  </si>
  <si>
    <t>Emma</t>
  </si>
  <si>
    <t>Anderson</t>
  </si>
  <si>
    <t>342 Cherry Lane</t>
  </si>
  <si>
    <t>(876) 338-9391</t>
  </si>
  <si>
    <t>Ethan</t>
  </si>
  <si>
    <t>Garcia</t>
  </si>
  <si>
    <t>435 Spruce Avenue</t>
  </si>
  <si>
    <t>(876) 434-2345</t>
  </si>
  <si>
    <t>Ava</t>
  </si>
  <si>
    <t>Rodriquez</t>
  </si>
  <si>
    <t>116 Walnut Way</t>
  </si>
  <si>
    <t>(876) 284-9393</t>
  </si>
  <si>
    <t>William</t>
  </si>
  <si>
    <t>Wilson</t>
  </si>
  <si>
    <t>878 Ash Street</t>
  </si>
  <si>
    <t>(876) 503-9394</t>
  </si>
  <si>
    <t>Mia</t>
  </si>
  <si>
    <t>Hernandez</t>
  </si>
  <si>
    <t>748 Birch Lane</t>
  </si>
  <si>
    <t>(876) 332-9395</t>
  </si>
  <si>
    <t>Alexander</t>
  </si>
  <si>
    <t>Lopez</t>
  </si>
  <si>
    <t>676 Sycamore Street</t>
  </si>
  <si>
    <t>(876) 388-9396</t>
  </si>
  <si>
    <t>Charlotte</t>
  </si>
  <si>
    <t>Gonzalez</t>
  </si>
  <si>
    <t>263 Maple Avenue</t>
  </si>
  <si>
    <t>(876) 238-9397</t>
  </si>
  <si>
    <t>No. of Masqueraders</t>
  </si>
  <si>
    <t>Total Payment Collected</t>
  </si>
  <si>
    <t>Total Costume Payment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</si>
  <si>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</si>
  <si>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</si>
  <si>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</si>
  <si>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</si>
  <si>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</si>
  <si>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</si>
  <si>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</si>
  <si>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</si>
  <si>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</si>
  <si>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</si>
  <si>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</si>
  <si>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</si>
  <si>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</si>
  <si>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</si>
  <si>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</si>
  <si>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</si>
  <si>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</si>
  <si>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</si>
  <si>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Total Expenditure</t>
  </si>
  <si>
    <t>123 Maple Street, Springfield</t>
  </si>
  <si>
    <t>(876) 839-2056</t>
  </si>
  <si>
    <t>Laim</t>
  </si>
  <si>
    <t>456 Oak Avenue, Lakeside</t>
  </si>
  <si>
    <t>(876) 475-8123</t>
  </si>
  <si>
    <t>Williams</t>
  </si>
  <si>
    <t>789 Elm Lane, Greenfield</t>
  </si>
  <si>
    <t>(876) 921-6347</t>
  </si>
  <si>
    <t>Noah</t>
  </si>
  <si>
    <t>101 Pine Road, Hilltop</t>
  </si>
  <si>
    <t>(876) 568-9743</t>
  </si>
  <si>
    <t>234 Cedar Court, Riverside</t>
  </si>
  <si>
    <t>(876) 987-5432</t>
  </si>
  <si>
    <t>567 Birch Drive, Meadowbrook</t>
  </si>
  <si>
    <t>(876) 314-1592</t>
  </si>
  <si>
    <t>Mille</t>
  </si>
  <si>
    <t>890 Walnut Avenue, Woodland</t>
  </si>
  <si>
    <t>(876) 246-8013</t>
  </si>
  <si>
    <t>James</t>
  </si>
  <si>
    <t>112 Oakwood Circle, Lakeshore</t>
  </si>
  <si>
    <t>(876) 756-4213</t>
  </si>
  <si>
    <t>Moore</t>
  </si>
  <si>
    <t>345 Maple Lane, Forest Hills</t>
  </si>
  <si>
    <t>(876) 999-7683</t>
  </si>
  <si>
    <t>Oliver</t>
  </si>
  <si>
    <t>678 Pinecrest Road, Mountain View</t>
  </si>
  <si>
    <t>(876) 830-7595</t>
  </si>
  <si>
    <t>911 Elm Street, Parkside</t>
  </si>
  <si>
    <t>(876) 194-0004</t>
  </si>
  <si>
    <t>Thomas</t>
  </si>
  <si>
    <t>1313 Birchwood Avenue, Lakeview</t>
  </si>
  <si>
    <t>(876) 224-6959</t>
  </si>
  <si>
    <t>Jackson</t>
  </si>
  <si>
    <t>1414 Willow Way, Brookside</t>
  </si>
  <si>
    <t>(876) 984-1164</t>
  </si>
  <si>
    <t>Elijah</t>
  </si>
  <si>
    <t>White</t>
  </si>
  <si>
    <t>1515 Cedar Lane, Hillcrest</t>
  </si>
  <si>
    <t>(876) 152-5005</t>
  </si>
  <si>
    <t>Amelia</t>
  </si>
  <si>
    <t>Harris</t>
  </si>
  <si>
    <t>1618 Oakwood Drive, Lakeside</t>
  </si>
  <si>
    <t>(876) 323-5372</t>
  </si>
  <si>
    <t>Bryan</t>
  </si>
  <si>
    <t>Wallace</t>
  </si>
  <si>
    <t>4 Molynes Rd, Kingston 10</t>
  </si>
  <si>
    <t>(876) 926-4569</t>
  </si>
  <si>
    <t>John</t>
  </si>
  <si>
    <t>16 Seymour Avenue, Kingston 6</t>
  </si>
  <si>
    <t>(876) 927-3790</t>
  </si>
  <si>
    <t>Mekae</t>
  </si>
  <si>
    <t>9 Easton Avenue, Kingston 5</t>
  </si>
  <si>
    <t>(876) 927-3688</t>
  </si>
  <si>
    <t>Wyclifee</t>
  </si>
  <si>
    <t xml:space="preserve">Male </t>
  </si>
  <si>
    <t>85 Hagley Park Rd, Kingston 10</t>
  </si>
  <si>
    <t>(876) 960-3971</t>
  </si>
  <si>
    <t>Deshawn</t>
  </si>
  <si>
    <t>30 Dunrobin Avenue, Kingston 10</t>
  </si>
  <si>
    <t>876 755-3678</t>
  </si>
  <si>
    <t>Devontae</t>
  </si>
  <si>
    <t>Bryant</t>
  </si>
  <si>
    <t>72 Hope Rd, Kingston 6</t>
  </si>
  <si>
    <t xml:space="preserve">(876) 927-3221  </t>
  </si>
  <si>
    <t>Ana</t>
  </si>
  <si>
    <t>Warming</t>
  </si>
  <si>
    <t>53 Knutsford Blvd, Kingston 12</t>
  </si>
  <si>
    <t>(876) 926-8911</t>
  </si>
  <si>
    <t>Jenna</t>
  </si>
  <si>
    <t>Smalling</t>
  </si>
  <si>
    <t>87a Orange St., Kingston</t>
  </si>
  <si>
    <t>(876) 924-9187</t>
  </si>
  <si>
    <t>Rebecca</t>
  </si>
  <si>
    <t>Porter</t>
  </si>
  <si>
    <t>12 Ruthven Rd, Kingston 10</t>
  </si>
  <si>
    <t>(876) 968-8396</t>
  </si>
  <si>
    <t>Aji</t>
  </si>
  <si>
    <t>Ferguson</t>
  </si>
  <si>
    <t>Wentworth, St. Mary</t>
  </si>
  <si>
    <t>(876) 879-3196</t>
  </si>
  <si>
    <t>Mikealia</t>
  </si>
  <si>
    <t>Holness</t>
  </si>
  <si>
    <t>123 Constant Spring Rd, Kingston 8</t>
  </si>
  <si>
    <t>(876) 924-1656</t>
  </si>
  <si>
    <t>Sabrina</t>
  </si>
  <si>
    <t>Patrick</t>
  </si>
  <si>
    <t>14 Half Retirement Rd, Kingston</t>
  </si>
  <si>
    <t>(876) 968-0826</t>
  </si>
  <si>
    <t>Ryan</t>
  </si>
  <si>
    <t>Lewis</t>
  </si>
  <si>
    <t>21 Red Hills Rd, Kingston 10</t>
  </si>
  <si>
    <t>(876) 960-2456</t>
  </si>
  <si>
    <t>Luke</t>
  </si>
  <si>
    <t>Gordan</t>
  </si>
  <si>
    <t>24 Riverton Blvd, Kingstion</t>
  </si>
  <si>
    <t>(876) 923-8666</t>
  </si>
  <si>
    <t>Shericka</t>
  </si>
  <si>
    <t>Blake</t>
  </si>
  <si>
    <t>10 Trafalgar Rd, Kingston 5</t>
  </si>
  <si>
    <t>(876) 978-3049</t>
  </si>
  <si>
    <t xml:space="preserve">Emma </t>
  </si>
  <si>
    <t>63 Mark Lane, Kingston</t>
  </si>
  <si>
    <t>(876) 967-0911</t>
  </si>
  <si>
    <t>Liam</t>
  </si>
  <si>
    <t>Patel</t>
  </si>
  <si>
    <t>7 Lady Musgrave Rd, Kingston</t>
  </si>
  <si>
    <t>(876) 927-5626</t>
  </si>
  <si>
    <t>Nguyen</t>
  </si>
  <si>
    <t>5 Manchester Rd, Mandeville</t>
  </si>
  <si>
    <t>(876) 926-2956</t>
  </si>
  <si>
    <t xml:space="preserve">Full </t>
  </si>
  <si>
    <t>71 Molynes Rd, Kingston 10</t>
  </si>
  <si>
    <t>(876) 758-8099</t>
  </si>
  <si>
    <t xml:space="preserve">Twickenham Pk, Spanish Town </t>
  </si>
  <si>
    <t>(876) 984-3092</t>
  </si>
  <si>
    <t>2 Molynes Rd, Kingston 10</t>
  </si>
  <si>
    <t>(876) 923-7285</t>
  </si>
  <si>
    <t>327a Spanish Town Rd, Kingston 11</t>
  </si>
  <si>
    <t>(876) 901-5218</t>
  </si>
  <si>
    <t>Lee</t>
  </si>
  <si>
    <t>8 Haughton Ave, Kingston 5</t>
  </si>
  <si>
    <t>(876) 906-1033</t>
  </si>
  <si>
    <t>Lucas</t>
  </si>
  <si>
    <t>Rodriguez</t>
  </si>
  <si>
    <t>Upr Elletson Rd, Kingston 16</t>
  </si>
  <si>
    <t>(876) 928-1024</t>
  </si>
  <si>
    <t>3 Duke St., Kingston</t>
  </si>
  <si>
    <t>(876) 922-6150</t>
  </si>
  <si>
    <t>Clark</t>
  </si>
  <si>
    <t>51 Gilmour Drive, Kingston</t>
  </si>
  <si>
    <t>(876) 924-5291</t>
  </si>
  <si>
    <t>39 Caracas Ave, Kingston 15</t>
  </si>
  <si>
    <t>(876) 923-6894</t>
  </si>
  <si>
    <t>Mason</t>
  </si>
  <si>
    <t>Gordon Town, Kingston 7</t>
  </si>
  <si>
    <t>(876) 702-1866</t>
  </si>
  <si>
    <t>Scott</t>
  </si>
  <si>
    <t>53 Gilmour Dr, Kingston 20</t>
  </si>
  <si>
    <t>(876) 925-4570</t>
  </si>
  <si>
    <t>25 East Gueen St, Kingston</t>
  </si>
  <si>
    <t>(876) 922-6983</t>
  </si>
  <si>
    <t xml:space="preserve">Benjamin </t>
  </si>
  <si>
    <t>4 Dunrobin Ave, Kingston 10</t>
  </si>
  <si>
    <t>(876) 925-4745</t>
  </si>
  <si>
    <t>Grace</t>
  </si>
  <si>
    <t>Thompson</t>
  </si>
  <si>
    <t>1/2 Munroe Rd, Kingston 6</t>
  </si>
  <si>
    <t>(876) 927-7364</t>
  </si>
  <si>
    <t>Carter</t>
  </si>
  <si>
    <t>47d Old Hope Rd, Kingston 5</t>
  </si>
  <si>
    <t>(876) 927-8491</t>
  </si>
  <si>
    <t>Harper</t>
  </si>
  <si>
    <t>6 Caledonia Ave, Kingston 5</t>
  </si>
  <si>
    <t>(876) 929-6666</t>
  </si>
  <si>
    <t>Daniel</t>
  </si>
  <si>
    <t>4 Goodwood Terr, Kingston 10</t>
  </si>
  <si>
    <t>(876) 135-6924</t>
  </si>
  <si>
    <t>Lily</t>
  </si>
  <si>
    <t>Parker</t>
  </si>
  <si>
    <t>136a Red Hills Rd, Kingston</t>
  </si>
  <si>
    <t>(876) 931-8321</t>
  </si>
  <si>
    <t>Gabriel</t>
  </si>
  <si>
    <t>Robinson</t>
  </si>
  <si>
    <t>22a Union St, Montego Bay</t>
  </si>
  <si>
    <t>(876) 979-0068</t>
  </si>
  <si>
    <t>Chloe</t>
  </si>
  <si>
    <t>Adams</t>
  </si>
  <si>
    <t>White Marl, St. Catherine</t>
  </si>
  <si>
    <t>(876) 984-2740</t>
  </si>
  <si>
    <t>Samuel</t>
  </si>
  <si>
    <t>Wright</t>
  </si>
  <si>
    <t>1 Kent Ave, Montego Bay</t>
  </si>
  <si>
    <t>(876) 952-4376</t>
  </si>
  <si>
    <t>Zoe</t>
  </si>
  <si>
    <t>Mitchell</t>
  </si>
  <si>
    <t xml:space="preserve">Spur Tree, Mandeville </t>
  </si>
  <si>
    <t>(876) 962-2213</t>
  </si>
  <si>
    <t>Baker</t>
  </si>
  <si>
    <t>Church rd, Bog Walk</t>
  </si>
  <si>
    <t>(876) 929-3079</t>
  </si>
  <si>
    <t>Ruby</t>
  </si>
  <si>
    <t>Foster</t>
  </si>
  <si>
    <t>59 Lyndhurst Rd, Kingston 5</t>
  </si>
  <si>
    <t>(876) 985-2014</t>
  </si>
  <si>
    <t>Stewart</t>
  </si>
  <si>
    <t>14 Ballater Ave, Kingston 10</t>
  </si>
  <si>
    <t>(876) 968-4935</t>
  </si>
  <si>
    <t>Madison</t>
  </si>
  <si>
    <t>Hill</t>
  </si>
  <si>
    <t>3 Beechwood Ave, Kingston 5</t>
  </si>
  <si>
    <t>(876) 929-1480</t>
  </si>
  <si>
    <t>Imani</t>
  </si>
  <si>
    <t>Bennett</t>
  </si>
  <si>
    <t>58 HWT Rd, Kingston 10</t>
  </si>
  <si>
    <t>(876) 929-8496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</si>
</sst>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2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2" fillId="0" borderId="0" xfId="0" applyFont="1"/>
    <xf numFmtId="9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A17" sqref="A17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20.8554687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20006</v>
      </c>
      <c r="B3" s="3" t="s">
        <v>15</v>
      </c>
      <c r="C3" s="3" t="s">
        <v>16</v>
      </c>
      <c r="D3" s="4">
        <v>28</v>
      </c>
      <c r="E3" s="3" t="s">
        <v>17</v>
      </c>
      <c r="F3" s="3" t="s">
        <v>18</v>
      </c>
      <c r="G3" s="3" t="s">
        <v>19</v>
      </c>
      <c r="H3" s="3" t="s">
        <v>20</v>
      </c>
      <c r="I3" s="4" t="s">
        <v>21</v>
      </c>
      <c r="J3" s="5">
        <v>53.33</v>
      </c>
      <c r="K3" s="5">
        <v>53.33</v>
      </c>
      <c r="L3" s="5">
        <v>53.33</v>
      </c>
      <c r="M3" s="5" t="s">
        <v>22</v>
      </c>
      <c r="N3" s="6">
        <v>150</v>
      </c>
      <c r="O3" s="5">
        <f t="shared" ref="O3:O17" si="0">SUM(I3:L3)</f>
        <v>159.99</v>
      </c>
      <c r="P3" s="5">
        <f t="shared" ref="P3:P4" si="1">O3+(O3*$T$3)+N3</f>
        <v>333.98850000000004</v>
      </c>
      <c r="Q3" s="5">
        <f t="shared" ref="Q3:Q17" si="2">P3*$T$5</f>
        <v>51738.158535000002</v>
      </c>
      <c r="S3" s="7" t="s">
        <v>23</v>
      </c>
      <c r="T3" s="8">
        <v>0.15</v>
      </c>
    </row>
    <row r="4" spans="1:20" ht="14.25" customHeight="1" x14ac:dyDescent="0.25">
      <c r="A4" s="2">
        <v>20007</v>
      </c>
      <c r="B4" s="3" t="s">
        <v>24</v>
      </c>
      <c r="C4" s="3" t="s">
        <v>25</v>
      </c>
      <c r="D4" s="4">
        <v>35</v>
      </c>
      <c r="E4" s="3" t="s">
        <v>26</v>
      </c>
      <c r="F4" s="3" t="s">
        <v>27</v>
      </c>
      <c r="G4" s="3" t="s">
        <v>28</v>
      </c>
      <c r="H4" s="3" t="s">
        <v>20</v>
      </c>
      <c r="I4" s="4" t="s">
        <v>21</v>
      </c>
      <c r="J4" s="5">
        <v>53.33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53.33</v>
      </c>
      <c r="P4" s="5">
        <f t="shared" si="1"/>
        <v>211.3295</v>
      </c>
      <c r="Q4" s="5">
        <f t="shared" si="2"/>
        <v>32737.052844999998</v>
      </c>
      <c r="S4" s="7" t="s">
        <v>29</v>
      </c>
      <c r="T4" s="8">
        <v>0.1</v>
      </c>
    </row>
    <row r="5" spans="1:20" ht="14.25" customHeight="1" x14ac:dyDescent="0.25">
      <c r="A5" s="2">
        <v>20001</v>
      </c>
      <c r="B5" s="3" t="s">
        <v>30</v>
      </c>
      <c r="C5" s="3" t="s">
        <v>31</v>
      </c>
      <c r="D5" s="4">
        <v>22</v>
      </c>
      <c r="E5" s="3" t="s">
        <v>17</v>
      </c>
      <c r="F5" s="3" t="s">
        <v>32</v>
      </c>
      <c r="G5" s="3" t="s">
        <v>33</v>
      </c>
      <c r="H5" s="3" t="s">
        <v>34</v>
      </c>
      <c r="I5" s="5">
        <v>160</v>
      </c>
      <c r="J5" s="5" t="s">
        <v>21</v>
      </c>
      <c r="K5" s="5" t="s">
        <v>21</v>
      </c>
      <c r="L5" s="5" t="s">
        <v>21</v>
      </c>
      <c r="M5" s="5" t="s">
        <v>22</v>
      </c>
      <c r="N5" s="6">
        <v>150</v>
      </c>
      <c r="O5" s="5">
        <f t="shared" si="0"/>
        <v>160</v>
      </c>
      <c r="P5" s="5">
        <f t="shared" ref="P5:P7" si="3">O5-(O5*$T$4)+N5</f>
        <v>294</v>
      </c>
      <c r="Q5" s="5">
        <f t="shared" si="2"/>
        <v>45543.54</v>
      </c>
      <c r="S5" s="7" t="s">
        <v>35</v>
      </c>
      <c r="T5" s="9">
        <v>154.91</v>
      </c>
    </row>
    <row r="6" spans="1:20" ht="14.25" customHeight="1" x14ac:dyDescent="0.25">
      <c r="A6" s="2">
        <v>20002</v>
      </c>
      <c r="B6" s="3" t="s">
        <v>36</v>
      </c>
      <c r="C6" s="3" t="s">
        <v>37</v>
      </c>
      <c r="D6" s="4">
        <v>40</v>
      </c>
      <c r="E6" s="3" t="s">
        <v>26</v>
      </c>
      <c r="F6" s="3" t="s">
        <v>38</v>
      </c>
      <c r="G6" s="3" t="s">
        <v>39</v>
      </c>
      <c r="H6" s="3" t="s">
        <v>34</v>
      </c>
      <c r="I6" s="5">
        <v>160</v>
      </c>
      <c r="J6" s="5" t="s">
        <v>21</v>
      </c>
      <c r="K6" s="5" t="s">
        <v>21</v>
      </c>
      <c r="L6" s="5" t="s">
        <v>21</v>
      </c>
      <c r="M6" s="5" t="s">
        <v>40</v>
      </c>
      <c r="N6" s="6">
        <v>50</v>
      </c>
      <c r="O6" s="5">
        <f t="shared" si="0"/>
        <v>160</v>
      </c>
      <c r="P6" s="5">
        <f t="shared" si="3"/>
        <v>194</v>
      </c>
      <c r="Q6" s="5">
        <f t="shared" si="2"/>
        <v>30052.54</v>
      </c>
    </row>
    <row r="7" spans="1:20" ht="14.25" customHeight="1" x14ac:dyDescent="0.25">
      <c r="A7" s="2">
        <v>20003</v>
      </c>
      <c r="B7" s="3" t="s">
        <v>41</v>
      </c>
      <c r="C7" s="3" t="s">
        <v>42</v>
      </c>
      <c r="D7" s="4">
        <v>26</v>
      </c>
      <c r="E7" s="3" t="s">
        <v>17</v>
      </c>
      <c r="F7" s="3" t="s">
        <v>43</v>
      </c>
      <c r="G7" s="3" t="s">
        <v>44</v>
      </c>
      <c r="H7" s="3" t="s">
        <v>45</v>
      </c>
      <c r="I7" s="5">
        <v>160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160</v>
      </c>
      <c r="P7" s="5">
        <f t="shared" si="3"/>
        <v>194</v>
      </c>
      <c r="Q7" s="5">
        <f t="shared" si="2"/>
        <v>30052.54</v>
      </c>
    </row>
    <row r="8" spans="1:20" ht="14.25" customHeight="1" x14ac:dyDescent="0.25">
      <c r="A8" s="2">
        <v>20008</v>
      </c>
      <c r="B8" s="3" t="s">
        <v>46</v>
      </c>
      <c r="C8" s="3" t="s">
        <v>47</v>
      </c>
      <c r="D8" s="4">
        <v>33</v>
      </c>
      <c r="E8" s="3" t="s">
        <v>26</v>
      </c>
      <c r="F8" s="3" t="s">
        <v>48</v>
      </c>
      <c r="G8" s="3" t="s">
        <v>49</v>
      </c>
      <c r="H8" s="3" t="s">
        <v>20</v>
      </c>
      <c r="I8" s="5" t="s">
        <v>21</v>
      </c>
      <c r="J8" s="5">
        <v>53.33</v>
      </c>
      <c r="K8" s="5" t="s">
        <v>21</v>
      </c>
      <c r="L8" s="5" t="s">
        <v>21</v>
      </c>
      <c r="M8" s="5" t="s">
        <v>22</v>
      </c>
      <c r="N8" s="6">
        <v>150</v>
      </c>
      <c r="O8" s="5">
        <f t="shared" si="0"/>
        <v>53.33</v>
      </c>
      <c r="P8" s="5">
        <f>O8+(O8*$T$3)+N8</f>
        <v>211.3295</v>
      </c>
      <c r="Q8" s="5">
        <f t="shared" si="2"/>
        <v>32737.052844999998</v>
      </c>
    </row>
    <row r="9" spans="1:20" ht="14.25" customHeight="1" x14ac:dyDescent="0.25">
      <c r="A9" s="2">
        <v>20004</v>
      </c>
      <c r="B9" s="3" t="s">
        <v>50</v>
      </c>
      <c r="C9" s="3" t="s">
        <v>51</v>
      </c>
      <c r="D9" s="4">
        <v>29</v>
      </c>
      <c r="E9" s="3" t="s">
        <v>17</v>
      </c>
      <c r="F9" s="3" t="s">
        <v>52</v>
      </c>
      <c r="G9" s="3" t="s">
        <v>53</v>
      </c>
      <c r="H9" s="3" t="s">
        <v>34</v>
      </c>
      <c r="I9" s="5">
        <v>160</v>
      </c>
      <c r="J9" s="5" t="s">
        <v>21</v>
      </c>
      <c r="K9" s="5" t="s">
        <v>21</v>
      </c>
      <c r="L9" s="5" t="s">
        <v>21</v>
      </c>
      <c r="M9" s="5" t="s">
        <v>22</v>
      </c>
      <c r="N9" s="6">
        <v>150</v>
      </c>
      <c r="O9" s="5">
        <f t="shared" si="0"/>
        <v>160</v>
      </c>
      <c r="P9" s="5">
        <f>O9-(O9*$T$4)+N9</f>
        <v>294</v>
      </c>
      <c r="Q9" s="5">
        <f t="shared" si="2"/>
        <v>45543.54</v>
      </c>
    </row>
    <row r="10" spans="1:20" ht="14.25" customHeight="1" x14ac:dyDescent="0.25">
      <c r="A10" s="2">
        <v>20005</v>
      </c>
      <c r="B10" s="3" t="s">
        <v>54</v>
      </c>
      <c r="C10" s="3" t="s">
        <v>55</v>
      </c>
      <c r="D10" s="4">
        <v>37</v>
      </c>
      <c r="E10" s="3" t="s">
        <v>26</v>
      </c>
      <c r="F10" s="3" t="s">
        <v>56</v>
      </c>
      <c r="G10" s="3" t="s">
        <v>57</v>
      </c>
      <c r="H10" s="3" t="s">
        <v>20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40</v>
      </c>
      <c r="N10" s="6">
        <v>50</v>
      </c>
      <c r="O10" s="5">
        <f t="shared" si="0"/>
        <v>0</v>
      </c>
      <c r="P10" s="5">
        <f t="shared" ref="P10:P13" si="4">O10+(O10*$T$3)+N10</f>
        <v>50</v>
      </c>
      <c r="Q10" s="5">
        <f t="shared" si="2"/>
        <v>7745.5</v>
      </c>
    </row>
    <row r="11" spans="1:20" ht="14.25" customHeight="1" x14ac:dyDescent="0.25">
      <c r="A11" s="2">
        <v>20009</v>
      </c>
      <c r="B11" s="3" t="s">
        <v>58</v>
      </c>
      <c r="C11" s="3" t="s">
        <v>59</v>
      </c>
      <c r="D11" s="4">
        <v>24</v>
      </c>
      <c r="E11" s="3" t="s">
        <v>17</v>
      </c>
      <c r="F11" s="3" t="s">
        <v>60</v>
      </c>
      <c r="G11" s="3" t="s">
        <v>61</v>
      </c>
      <c r="H11" s="3" t="s">
        <v>20</v>
      </c>
      <c r="I11" s="5" t="s">
        <v>21</v>
      </c>
      <c r="J11" s="5">
        <v>53.33</v>
      </c>
      <c r="K11" s="5">
        <v>53.33</v>
      </c>
      <c r="L11" s="5">
        <v>53.33</v>
      </c>
      <c r="M11" s="5" t="s">
        <v>22</v>
      </c>
      <c r="N11" s="6">
        <v>150</v>
      </c>
      <c r="O11" s="5">
        <f t="shared" si="0"/>
        <v>159.99</v>
      </c>
      <c r="P11" s="5">
        <f t="shared" si="4"/>
        <v>333.98850000000004</v>
      </c>
      <c r="Q11" s="5">
        <f t="shared" si="2"/>
        <v>51738.158535000002</v>
      </c>
    </row>
    <row r="12" spans="1:20" ht="14.25" customHeight="1" x14ac:dyDescent="0.25">
      <c r="A12" s="2">
        <v>20010</v>
      </c>
      <c r="B12" s="3" t="s">
        <v>62</v>
      </c>
      <c r="C12" s="3" t="s">
        <v>63</v>
      </c>
      <c r="D12" s="4">
        <v>31</v>
      </c>
      <c r="E12" s="3" t="s">
        <v>26</v>
      </c>
      <c r="F12" s="3" t="s">
        <v>64</v>
      </c>
      <c r="G12" s="3" t="s">
        <v>65</v>
      </c>
      <c r="H12" s="3" t="s">
        <v>20</v>
      </c>
      <c r="I12" s="5" t="s">
        <v>21</v>
      </c>
      <c r="J12" s="5">
        <v>53.33</v>
      </c>
      <c r="K12" s="5" t="s">
        <v>21</v>
      </c>
      <c r="L12" s="5" t="s">
        <v>21</v>
      </c>
      <c r="M12" s="5" t="s">
        <v>40</v>
      </c>
      <c r="N12" s="6">
        <v>50</v>
      </c>
      <c r="O12" s="5">
        <f t="shared" si="0"/>
        <v>53.33</v>
      </c>
      <c r="P12" s="5">
        <f t="shared" si="4"/>
        <v>111.3295</v>
      </c>
      <c r="Q12" s="5">
        <f t="shared" si="2"/>
        <v>17246.052844999998</v>
      </c>
    </row>
    <row r="13" spans="1:20" ht="14.25" customHeight="1" x14ac:dyDescent="0.25">
      <c r="A13" s="2">
        <v>20011</v>
      </c>
      <c r="B13" s="3" t="s">
        <v>66</v>
      </c>
      <c r="C13" s="3" t="s">
        <v>67</v>
      </c>
      <c r="D13" s="4">
        <v>27</v>
      </c>
      <c r="E13" s="3" t="s">
        <v>17</v>
      </c>
      <c r="F13" s="3" t="s">
        <v>68</v>
      </c>
      <c r="G13" s="3" t="s">
        <v>69</v>
      </c>
      <c r="H13" s="3" t="s">
        <v>20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0</v>
      </c>
      <c r="P13" s="5">
        <f t="shared" si="4"/>
        <v>50</v>
      </c>
      <c r="Q13" s="5">
        <f t="shared" si="2"/>
        <v>7745.5</v>
      </c>
    </row>
    <row r="14" spans="1:20" ht="14.25" customHeight="1" x14ac:dyDescent="0.25">
      <c r="A14" s="2">
        <v>20012</v>
      </c>
      <c r="B14" s="3" t="s">
        <v>70</v>
      </c>
      <c r="C14" s="3" t="s">
        <v>71</v>
      </c>
      <c r="D14" s="4">
        <v>36</v>
      </c>
      <c r="E14" s="3" t="s">
        <v>26</v>
      </c>
      <c r="F14" s="3" t="s">
        <v>72</v>
      </c>
      <c r="G14" s="3" t="s">
        <v>73</v>
      </c>
      <c r="H14" s="3" t="s">
        <v>34</v>
      </c>
      <c r="I14" s="5">
        <v>160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160</v>
      </c>
      <c r="P14" s="5">
        <f t="shared" ref="P14:P16" si="5">O14-(O14*$T$4)+N14</f>
        <v>294</v>
      </c>
      <c r="Q14" s="5">
        <f t="shared" si="2"/>
        <v>45543.54</v>
      </c>
    </row>
    <row r="15" spans="1:20" ht="14.25" customHeight="1" x14ac:dyDescent="0.25">
      <c r="A15" s="2">
        <v>20013</v>
      </c>
      <c r="B15" s="3" t="s">
        <v>74</v>
      </c>
      <c r="C15" s="3" t="s">
        <v>75</v>
      </c>
      <c r="D15" s="4">
        <v>23</v>
      </c>
      <c r="E15" s="3" t="s">
        <v>17</v>
      </c>
      <c r="F15" s="3" t="s">
        <v>76</v>
      </c>
      <c r="G15" s="3" t="s">
        <v>77</v>
      </c>
      <c r="H15" s="3" t="s">
        <v>34</v>
      </c>
      <c r="I15" s="5">
        <v>160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160</v>
      </c>
      <c r="P15" s="5">
        <f t="shared" si="5"/>
        <v>294</v>
      </c>
      <c r="Q15" s="5">
        <f t="shared" si="2"/>
        <v>45543.54</v>
      </c>
    </row>
    <row r="16" spans="1:20" ht="14.25" customHeight="1" x14ac:dyDescent="0.25">
      <c r="A16" s="2">
        <v>20014</v>
      </c>
      <c r="B16" s="3" t="s">
        <v>78</v>
      </c>
      <c r="C16" s="3" t="s">
        <v>79</v>
      </c>
      <c r="D16" s="4">
        <v>30</v>
      </c>
      <c r="E16" s="3" t="s">
        <v>26</v>
      </c>
      <c r="F16" s="3" t="s">
        <v>80</v>
      </c>
      <c r="G16" s="3" t="s">
        <v>81</v>
      </c>
      <c r="H16" s="3" t="s">
        <v>34</v>
      </c>
      <c r="I16" s="5">
        <v>160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160</v>
      </c>
      <c r="P16" s="5">
        <f t="shared" si="5"/>
        <v>294</v>
      </c>
      <c r="Q16" s="5">
        <f t="shared" si="2"/>
        <v>45543.54</v>
      </c>
    </row>
    <row r="17" spans="1:20" ht="14.25" customHeight="1" x14ac:dyDescent="0.25">
      <c r="A17" s="2">
        <v>20015</v>
      </c>
      <c r="B17" s="3" t="s">
        <v>82</v>
      </c>
      <c r="C17" s="3" t="s">
        <v>83</v>
      </c>
      <c r="D17" s="4">
        <v>25</v>
      </c>
      <c r="E17" s="3" t="s">
        <v>17</v>
      </c>
      <c r="F17" s="3" t="s">
        <v>84</v>
      </c>
      <c r="G17" s="3" t="s">
        <v>85</v>
      </c>
      <c r="H17" s="3" t="s">
        <v>20</v>
      </c>
      <c r="I17" s="4" t="s">
        <v>21</v>
      </c>
      <c r="J17" s="5">
        <v>53.33</v>
      </c>
      <c r="K17" s="5">
        <v>53.33</v>
      </c>
      <c r="L17" s="5" t="s">
        <v>21</v>
      </c>
      <c r="M17" s="5" t="s">
        <v>40</v>
      </c>
      <c r="N17" s="6">
        <v>50</v>
      </c>
      <c r="O17" s="5">
        <f t="shared" si="0"/>
        <v>106.66</v>
      </c>
      <c r="P17" s="5">
        <f>O17+(O17*$T$3)+N17</f>
        <v>172.65899999999999</v>
      </c>
      <c r="Q17" s="5">
        <f t="shared" si="2"/>
        <v>26746.605689999997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COUNT(A3:A17)</f>
        <v>15</v>
      </c>
      <c r="O19" s="1" t="s">
        <v>87</v>
      </c>
      <c r="P19" s="9">
        <f t="shared" ref="P19:Q19" si="6">SUM(P3:P17)</f>
        <v>3332.6244999999999</v>
      </c>
      <c r="Q19" s="9">
        <f t="shared" si="6"/>
        <v>516256.86129499995</v>
      </c>
    </row>
    <row r="20" spans="1:20" ht="14.25" customHeight="1" x14ac:dyDescent="0.25">
      <c r="A20" s="7" t="s">
        <v>88</v>
      </c>
      <c r="C20" s="9">
        <f>SUM(O3:O17)</f>
        <v>1706.6299999999999</v>
      </c>
    </row>
    <row r="21" spans="1:20" ht="14.25" customHeight="1" x14ac:dyDescent="0.25">
      <c r="A21" s="7" t="s">
        <v>89</v>
      </c>
      <c r="C21" s="9">
        <f>SUMIF(N3:N17,"=150")</f>
        <v>1350</v>
      </c>
    </row>
    <row r="22" spans="1:20" ht="14.25" customHeight="1" x14ac:dyDescent="0.25">
      <c r="A22" s="7" t="s">
        <v>90</v>
      </c>
      <c r="C22" s="9">
        <f>SUM(P3:P17)</f>
        <v>3332.6244999999999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 t="shared" ref="E26:E29" si="7">B26</f>
        <v>60</v>
      </c>
      <c r="F26" s="5">
        <f t="shared" ref="F26:F29" si="8">PRODUCT(E26*$C$19)</f>
        <v>900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 t="shared" si="7"/>
        <v>40</v>
      </c>
      <c r="F27" s="5">
        <f t="shared" si="8"/>
        <v>600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 t="shared" si="7"/>
        <v>150</v>
      </c>
      <c r="F28" s="5">
        <f t="shared" si="8"/>
        <v>2250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 t="shared" si="7"/>
        <v>75</v>
      </c>
      <c r="F29" s="5">
        <f t="shared" si="8"/>
        <v>1125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ref="F30:F34" si="10">PRODUCT(E30,15)</f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10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10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10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10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53775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activeCell="A17" sqref="A17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30001</v>
      </c>
      <c r="B3" s="3" t="s">
        <v>58</v>
      </c>
      <c r="C3" s="3" t="s">
        <v>25</v>
      </c>
      <c r="D3" s="4">
        <v>25</v>
      </c>
      <c r="E3" s="3" t="s">
        <v>17</v>
      </c>
      <c r="F3" s="3" t="s">
        <v>108</v>
      </c>
      <c r="G3" s="3" t="s">
        <v>109</v>
      </c>
      <c r="H3" s="3" t="s">
        <v>34</v>
      </c>
      <c r="I3" s="5">
        <v>220</v>
      </c>
      <c r="J3" s="5" t="s">
        <v>21</v>
      </c>
      <c r="K3" s="5" t="s">
        <v>21</v>
      </c>
      <c r="L3" s="5" t="s">
        <v>21</v>
      </c>
      <c r="M3" s="5" t="s">
        <v>22</v>
      </c>
      <c r="N3" s="6">
        <v>150</v>
      </c>
      <c r="O3" s="5">
        <f t="shared" ref="O3:O17" si="0">SUM(I3:L3)</f>
        <v>220</v>
      </c>
      <c r="P3" s="5">
        <f>O3-(O3*$T$4)+N3</f>
        <v>348</v>
      </c>
      <c r="Q3" s="5">
        <f t="shared" ref="Q3:Q17" si="1">P3*$T$5</f>
        <v>53908.68</v>
      </c>
      <c r="S3" s="7" t="s">
        <v>23</v>
      </c>
      <c r="T3" s="8">
        <v>0.15</v>
      </c>
    </row>
    <row r="4" spans="1:20" ht="14.25" customHeight="1" x14ac:dyDescent="0.25">
      <c r="A4" s="2">
        <v>30008</v>
      </c>
      <c r="B4" s="3" t="s">
        <v>110</v>
      </c>
      <c r="C4" s="3" t="s">
        <v>16</v>
      </c>
      <c r="D4" s="4">
        <v>32</v>
      </c>
      <c r="E4" s="3" t="s">
        <v>26</v>
      </c>
      <c r="F4" s="3" t="s">
        <v>111</v>
      </c>
      <c r="G4" s="3" t="s">
        <v>112</v>
      </c>
      <c r="H4" s="3" t="s">
        <v>20</v>
      </c>
      <c r="I4" s="4" t="s">
        <v>21</v>
      </c>
      <c r="J4" s="5">
        <v>73.33</v>
      </c>
      <c r="K4" s="5" t="s">
        <v>21</v>
      </c>
      <c r="L4" s="5" t="s">
        <v>21</v>
      </c>
      <c r="M4" s="5" t="s">
        <v>40</v>
      </c>
      <c r="N4" s="6">
        <v>50</v>
      </c>
      <c r="O4" s="5">
        <f t="shared" si="0"/>
        <v>73.33</v>
      </c>
      <c r="P4" s="5">
        <f>O4+(O4*$T$3)+N4</f>
        <v>134.3295</v>
      </c>
      <c r="Q4" s="5">
        <f t="shared" si="1"/>
        <v>20808.982844999999</v>
      </c>
      <c r="S4" s="7" t="s">
        <v>29</v>
      </c>
      <c r="T4" s="8">
        <v>0.1</v>
      </c>
    </row>
    <row r="5" spans="1:20" ht="14.25" customHeight="1" x14ac:dyDescent="0.25">
      <c r="A5" s="2">
        <v>30002</v>
      </c>
      <c r="B5" s="3" t="s">
        <v>41</v>
      </c>
      <c r="C5" s="3" t="s">
        <v>113</v>
      </c>
      <c r="D5" s="4">
        <v>19</v>
      </c>
      <c r="E5" s="3" t="s">
        <v>17</v>
      </c>
      <c r="F5" s="3" t="s">
        <v>114</v>
      </c>
      <c r="G5" s="3" t="s">
        <v>115</v>
      </c>
      <c r="H5" s="3" t="s">
        <v>34</v>
      </c>
      <c r="I5" s="5">
        <v>220</v>
      </c>
      <c r="J5" s="5" t="s">
        <v>21</v>
      </c>
      <c r="K5" s="5" t="s">
        <v>21</v>
      </c>
      <c r="L5" s="5" t="s">
        <v>21</v>
      </c>
      <c r="M5" s="5" t="s">
        <v>40</v>
      </c>
      <c r="N5" s="6">
        <v>50</v>
      </c>
      <c r="O5" s="5">
        <f t="shared" si="0"/>
        <v>220</v>
      </c>
      <c r="P5" s="5">
        <f t="shared" ref="P5:P6" si="2">O5-(O5*$T$4)+N5</f>
        <v>248</v>
      </c>
      <c r="Q5" s="5">
        <f t="shared" si="1"/>
        <v>38417.68</v>
      </c>
      <c r="S5" s="7" t="s">
        <v>35</v>
      </c>
      <c r="T5" s="9">
        <v>154.91</v>
      </c>
    </row>
    <row r="6" spans="1:20" ht="14.25" customHeight="1" x14ac:dyDescent="0.25">
      <c r="A6" s="2">
        <v>30003</v>
      </c>
      <c r="B6" s="3" t="s">
        <v>116</v>
      </c>
      <c r="C6" s="3" t="s">
        <v>42</v>
      </c>
      <c r="D6" s="4">
        <v>42</v>
      </c>
      <c r="E6" s="3" t="s">
        <v>26</v>
      </c>
      <c r="F6" s="3" t="s">
        <v>117</v>
      </c>
      <c r="G6" s="3" t="s">
        <v>118</v>
      </c>
      <c r="H6" s="3" t="s">
        <v>34</v>
      </c>
      <c r="I6" s="5">
        <v>220</v>
      </c>
      <c r="J6" s="5" t="s">
        <v>21</v>
      </c>
      <c r="K6" s="5" t="s">
        <v>21</v>
      </c>
      <c r="L6" s="5" t="s">
        <v>21</v>
      </c>
      <c r="M6" s="5" t="s">
        <v>40</v>
      </c>
      <c r="N6" s="6">
        <v>50</v>
      </c>
      <c r="O6" s="5">
        <f t="shared" si="0"/>
        <v>220</v>
      </c>
      <c r="P6" s="5">
        <f t="shared" si="2"/>
        <v>248</v>
      </c>
      <c r="Q6" s="5">
        <f t="shared" si="1"/>
        <v>38417.68</v>
      </c>
    </row>
    <row r="7" spans="1:20" ht="14.25" customHeight="1" x14ac:dyDescent="0.25">
      <c r="A7" s="2">
        <v>30009</v>
      </c>
      <c r="B7" s="3" t="s">
        <v>66</v>
      </c>
      <c r="C7" s="3" t="s">
        <v>37</v>
      </c>
      <c r="D7" s="4">
        <v>37</v>
      </c>
      <c r="E7" s="3" t="s">
        <v>17</v>
      </c>
      <c r="F7" s="3" t="s">
        <v>119</v>
      </c>
      <c r="G7" s="3" t="s">
        <v>120</v>
      </c>
      <c r="H7" s="3" t="s">
        <v>20</v>
      </c>
      <c r="I7" s="5" t="s">
        <v>21</v>
      </c>
      <c r="J7" s="5">
        <v>73.33</v>
      </c>
      <c r="K7" s="5">
        <v>73.33</v>
      </c>
      <c r="L7" s="5" t="s">
        <v>21</v>
      </c>
      <c r="M7" s="5" t="s">
        <v>22</v>
      </c>
      <c r="N7" s="6">
        <v>150</v>
      </c>
      <c r="O7" s="5">
        <f t="shared" si="0"/>
        <v>146.66</v>
      </c>
      <c r="P7" s="5">
        <f t="shared" ref="P7:P10" si="3">O7+(O7*$T$3)+N7</f>
        <v>318.65899999999999</v>
      </c>
      <c r="Q7" s="5">
        <f t="shared" si="1"/>
        <v>49363.465689999997</v>
      </c>
    </row>
    <row r="8" spans="1:20" ht="14.25" customHeight="1" x14ac:dyDescent="0.25">
      <c r="A8" s="2">
        <v>30010</v>
      </c>
      <c r="B8" s="3" t="s">
        <v>70</v>
      </c>
      <c r="C8" s="3" t="s">
        <v>47</v>
      </c>
      <c r="D8" s="4">
        <v>20</v>
      </c>
      <c r="E8" s="3" t="s">
        <v>26</v>
      </c>
      <c r="F8" s="3" t="s">
        <v>121</v>
      </c>
      <c r="G8" s="3" t="s">
        <v>122</v>
      </c>
      <c r="H8" s="3" t="s">
        <v>20</v>
      </c>
      <c r="I8" s="5" t="s">
        <v>21</v>
      </c>
      <c r="J8" s="5">
        <v>73.33</v>
      </c>
      <c r="K8" s="5">
        <v>73.33</v>
      </c>
      <c r="L8" s="5">
        <v>73.33</v>
      </c>
      <c r="M8" s="5" t="s">
        <v>22</v>
      </c>
      <c r="N8" s="6">
        <v>150</v>
      </c>
      <c r="O8" s="5">
        <f t="shared" si="0"/>
        <v>219.99</v>
      </c>
      <c r="P8" s="5">
        <f t="shared" si="3"/>
        <v>402.98850000000004</v>
      </c>
      <c r="Q8" s="5">
        <f t="shared" si="1"/>
        <v>62426.948535000003</v>
      </c>
    </row>
    <row r="9" spans="1:20" ht="14.25" customHeight="1" x14ac:dyDescent="0.25">
      <c r="A9" s="2">
        <v>30011</v>
      </c>
      <c r="B9" s="3" t="s">
        <v>30</v>
      </c>
      <c r="C9" s="3" t="s">
        <v>123</v>
      </c>
      <c r="D9" s="4">
        <v>29</v>
      </c>
      <c r="E9" s="3" t="s">
        <v>17</v>
      </c>
      <c r="F9" s="3" t="s">
        <v>124</v>
      </c>
      <c r="G9" s="3" t="s">
        <v>125</v>
      </c>
      <c r="H9" s="3" t="s">
        <v>20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40</v>
      </c>
      <c r="N9" s="6">
        <v>50</v>
      </c>
      <c r="O9" s="5">
        <f t="shared" si="0"/>
        <v>0</v>
      </c>
      <c r="P9" s="5">
        <f t="shared" si="3"/>
        <v>50</v>
      </c>
      <c r="Q9" s="5">
        <f t="shared" si="1"/>
        <v>7745.5</v>
      </c>
    </row>
    <row r="10" spans="1:20" ht="14.25" customHeight="1" x14ac:dyDescent="0.25">
      <c r="A10" s="2">
        <v>30012</v>
      </c>
      <c r="B10" s="3" t="s">
        <v>126</v>
      </c>
      <c r="C10" s="3" t="s">
        <v>71</v>
      </c>
      <c r="D10" s="4">
        <v>36</v>
      </c>
      <c r="E10" s="3" t="s">
        <v>26</v>
      </c>
      <c r="F10" s="3" t="s">
        <v>127</v>
      </c>
      <c r="G10" s="3" t="s">
        <v>128</v>
      </c>
      <c r="H10" s="3" t="s">
        <v>20</v>
      </c>
      <c r="I10" s="5" t="s">
        <v>21</v>
      </c>
      <c r="J10" s="5">
        <v>73.33</v>
      </c>
      <c r="K10" s="5" t="s">
        <v>21</v>
      </c>
      <c r="L10" s="5" t="s">
        <v>21</v>
      </c>
      <c r="M10" s="5" t="s">
        <v>40</v>
      </c>
      <c r="N10" s="6">
        <v>50</v>
      </c>
      <c r="O10" s="5">
        <f t="shared" si="0"/>
        <v>73.33</v>
      </c>
      <c r="P10" s="5">
        <f t="shared" si="3"/>
        <v>134.3295</v>
      </c>
      <c r="Q10" s="5">
        <f t="shared" si="1"/>
        <v>20808.982844999999</v>
      </c>
    </row>
    <row r="11" spans="1:20" ht="14.25" customHeight="1" x14ac:dyDescent="0.25">
      <c r="A11" s="2">
        <v>30004</v>
      </c>
      <c r="B11" s="3" t="s">
        <v>50</v>
      </c>
      <c r="C11" s="3" t="s">
        <v>129</v>
      </c>
      <c r="D11" s="4">
        <v>23</v>
      </c>
      <c r="E11" s="3" t="s">
        <v>17</v>
      </c>
      <c r="F11" s="3" t="s">
        <v>130</v>
      </c>
      <c r="G11" s="2" t="s">
        <v>131</v>
      </c>
      <c r="H11" s="3" t="s">
        <v>34</v>
      </c>
      <c r="I11" s="5">
        <v>220</v>
      </c>
      <c r="J11" s="5" t="s">
        <v>21</v>
      </c>
      <c r="K11" s="5" t="s">
        <v>21</v>
      </c>
      <c r="L11" s="5" t="s">
        <v>21</v>
      </c>
      <c r="M11" s="5" t="s">
        <v>40</v>
      </c>
      <c r="N11" s="6">
        <v>50</v>
      </c>
      <c r="O11" s="5">
        <f t="shared" si="0"/>
        <v>220</v>
      </c>
      <c r="P11" s="5">
        <f t="shared" ref="P11:P13" si="4">O11-(O11*$T$4)+N11</f>
        <v>248</v>
      </c>
      <c r="Q11" s="5">
        <f t="shared" si="1"/>
        <v>38417.68</v>
      </c>
    </row>
    <row r="12" spans="1:20" ht="14.25" customHeight="1" x14ac:dyDescent="0.25">
      <c r="A12" s="2">
        <v>30005</v>
      </c>
      <c r="B12" s="3" t="s">
        <v>132</v>
      </c>
      <c r="C12" s="3" t="s">
        <v>51</v>
      </c>
      <c r="D12" s="4">
        <v>40</v>
      </c>
      <c r="E12" s="3" t="s">
        <v>26</v>
      </c>
      <c r="F12" s="3" t="s">
        <v>133</v>
      </c>
      <c r="G12" s="2" t="s">
        <v>134</v>
      </c>
      <c r="H12" s="3" t="s">
        <v>34</v>
      </c>
      <c r="I12" s="5">
        <v>220</v>
      </c>
      <c r="J12" s="5" t="s">
        <v>21</v>
      </c>
      <c r="K12" s="5" t="s">
        <v>21</v>
      </c>
      <c r="L12" s="5" t="s">
        <v>21</v>
      </c>
      <c r="M12" s="5" t="s">
        <v>22</v>
      </c>
      <c r="N12" s="6">
        <v>150</v>
      </c>
      <c r="O12" s="5">
        <f t="shared" si="0"/>
        <v>220</v>
      </c>
      <c r="P12" s="5">
        <f t="shared" si="4"/>
        <v>348</v>
      </c>
      <c r="Q12" s="5">
        <f t="shared" si="1"/>
        <v>53908.68</v>
      </c>
    </row>
    <row r="13" spans="1:20" ht="14.25" customHeight="1" x14ac:dyDescent="0.25">
      <c r="A13" s="2">
        <v>30006</v>
      </c>
      <c r="B13" s="3" t="s">
        <v>74</v>
      </c>
      <c r="C13" s="3" t="s">
        <v>59</v>
      </c>
      <c r="D13" s="4">
        <v>18</v>
      </c>
      <c r="E13" s="3" t="s">
        <v>17</v>
      </c>
      <c r="F13" s="3" t="s">
        <v>135</v>
      </c>
      <c r="G13" s="2" t="s">
        <v>136</v>
      </c>
      <c r="H13" s="3" t="s">
        <v>34</v>
      </c>
      <c r="I13" s="5">
        <v>220</v>
      </c>
      <c r="J13" s="5" t="s">
        <v>21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220</v>
      </c>
      <c r="P13" s="5">
        <f t="shared" si="4"/>
        <v>248</v>
      </c>
      <c r="Q13" s="5">
        <f t="shared" si="1"/>
        <v>38417.68</v>
      </c>
    </row>
    <row r="14" spans="1:20" ht="14.25" customHeight="1" x14ac:dyDescent="0.25">
      <c r="A14" s="2">
        <v>30007</v>
      </c>
      <c r="B14" s="3" t="s">
        <v>36</v>
      </c>
      <c r="C14" s="3" t="s">
        <v>137</v>
      </c>
      <c r="D14" s="4">
        <v>34</v>
      </c>
      <c r="E14" s="3" t="s">
        <v>26</v>
      </c>
      <c r="F14" s="3" t="s">
        <v>138</v>
      </c>
      <c r="G14" s="2" t="s">
        <v>139</v>
      </c>
      <c r="H14" s="3" t="s">
        <v>20</v>
      </c>
      <c r="I14" s="5" t="s">
        <v>21</v>
      </c>
      <c r="J14" s="5">
        <v>73.33</v>
      </c>
      <c r="K14" s="5">
        <v>73.33</v>
      </c>
      <c r="L14" s="5" t="s">
        <v>21</v>
      </c>
      <c r="M14" s="5" t="s">
        <v>40</v>
      </c>
      <c r="N14" s="6">
        <v>50</v>
      </c>
      <c r="O14" s="5">
        <f t="shared" si="0"/>
        <v>146.66</v>
      </c>
      <c r="P14" s="5">
        <f>O14+(O14*$T$3)+N14</f>
        <v>218.65899999999999</v>
      </c>
      <c r="Q14" s="5">
        <f t="shared" si="1"/>
        <v>33872.465689999997</v>
      </c>
    </row>
    <row r="15" spans="1:20" ht="14.25" customHeight="1" x14ac:dyDescent="0.25">
      <c r="A15" s="2">
        <v>30013</v>
      </c>
      <c r="B15" s="3" t="s">
        <v>82</v>
      </c>
      <c r="C15" s="3" t="s">
        <v>140</v>
      </c>
      <c r="D15" s="4">
        <v>27</v>
      </c>
      <c r="E15" s="3" t="s">
        <v>17</v>
      </c>
      <c r="F15" s="3" t="s">
        <v>141</v>
      </c>
      <c r="G15" s="2" t="s">
        <v>142</v>
      </c>
      <c r="H15" s="3" t="s">
        <v>34</v>
      </c>
      <c r="I15" s="5">
        <v>220</v>
      </c>
      <c r="J15" s="5" t="s">
        <v>21</v>
      </c>
      <c r="K15" s="5" t="s">
        <v>21</v>
      </c>
      <c r="L15" s="5" t="s">
        <v>21</v>
      </c>
      <c r="M15" s="5" t="s">
        <v>40</v>
      </c>
      <c r="N15" s="6">
        <v>50</v>
      </c>
      <c r="O15" s="5">
        <f t="shared" si="0"/>
        <v>220</v>
      </c>
      <c r="P15" s="5">
        <f t="shared" ref="P15:P17" si="5">O15-(O15*$T$4)+N15</f>
        <v>248</v>
      </c>
      <c r="Q15" s="5">
        <f t="shared" si="1"/>
        <v>38417.68</v>
      </c>
    </row>
    <row r="16" spans="1:20" ht="14.25" customHeight="1" x14ac:dyDescent="0.25">
      <c r="A16" s="2">
        <v>30014</v>
      </c>
      <c r="B16" s="3" t="s">
        <v>143</v>
      </c>
      <c r="C16" s="3" t="s">
        <v>144</v>
      </c>
      <c r="D16" s="4">
        <v>48</v>
      </c>
      <c r="E16" s="3" t="s">
        <v>26</v>
      </c>
      <c r="F16" s="3" t="s">
        <v>145</v>
      </c>
      <c r="G16" s="2" t="s">
        <v>146</v>
      </c>
      <c r="H16" s="3" t="s">
        <v>34</v>
      </c>
      <c r="I16" s="5">
        <v>220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220</v>
      </c>
      <c r="P16" s="5">
        <f t="shared" si="5"/>
        <v>348</v>
      </c>
      <c r="Q16" s="5">
        <f t="shared" si="1"/>
        <v>53908.68</v>
      </c>
    </row>
    <row r="17" spans="1:20" ht="14.25" customHeight="1" x14ac:dyDescent="0.25">
      <c r="A17" s="2">
        <v>30015</v>
      </c>
      <c r="B17" s="3" t="s">
        <v>147</v>
      </c>
      <c r="C17" s="3" t="s">
        <v>148</v>
      </c>
      <c r="D17" s="4">
        <v>22</v>
      </c>
      <c r="E17" s="3" t="s">
        <v>17</v>
      </c>
      <c r="F17" s="3" t="s">
        <v>149</v>
      </c>
      <c r="G17" s="2" t="s">
        <v>150</v>
      </c>
      <c r="H17" s="3" t="s">
        <v>34</v>
      </c>
      <c r="I17" s="5">
        <v>220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220</v>
      </c>
      <c r="P17" s="5">
        <f t="shared" si="5"/>
        <v>248</v>
      </c>
      <c r="Q17" s="5">
        <f t="shared" si="1"/>
        <v>38417.68</v>
      </c>
    </row>
    <row r="18" spans="1:20" ht="14.25" customHeight="1" x14ac:dyDescent="0.25">
      <c r="M18" s="5"/>
      <c r="N18" s="6"/>
      <c r="O18" s="5"/>
    </row>
    <row r="19" spans="1:20" ht="14.25" customHeight="1" x14ac:dyDescent="0.25">
      <c r="A19" s="7" t="s">
        <v>86</v>
      </c>
      <c r="C19" s="3">
        <f>COUNT(A3:A17)</f>
        <v>15</v>
      </c>
      <c r="O19" s="1" t="s">
        <v>87</v>
      </c>
      <c r="P19" s="9">
        <f t="shared" ref="P19:Q19" si="6">SUM(P3:P17)</f>
        <v>3790.9654999999998</v>
      </c>
      <c r="Q19" s="9">
        <f t="shared" si="6"/>
        <v>587258.46560500003</v>
      </c>
    </row>
    <row r="20" spans="1:20" ht="14.25" customHeight="1" x14ac:dyDescent="0.25">
      <c r="A20" s="7" t="s">
        <v>88</v>
      </c>
      <c r="C20" s="9">
        <f>SUM(O3:O17)</f>
        <v>2639.9700000000003</v>
      </c>
    </row>
    <row r="21" spans="1:20" ht="14.25" customHeight="1" x14ac:dyDescent="0.25">
      <c r="A21" s="7" t="s">
        <v>89</v>
      </c>
      <c r="C21" s="9">
        <f>SUMIF(N3:N17,"=150")</f>
        <v>750</v>
      </c>
    </row>
    <row r="22" spans="1:20" ht="14.25" customHeight="1" x14ac:dyDescent="0.25">
      <c r="A22" s="7" t="s">
        <v>90</v>
      </c>
      <c r="C22" s="9">
        <f>SUM(P3:P17)</f>
        <v>3790.9654999999998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 t="shared" ref="E26:E29" si="7">(B26+(B26*D26))</f>
        <v>69</v>
      </c>
      <c r="F26" s="5">
        <f t="shared" ref="F26:F29" si="8">PRODUCT(E26*$C$19)</f>
        <v>1035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 t="shared" si="7"/>
        <v>46</v>
      </c>
      <c r="F27" s="5">
        <f t="shared" si="8"/>
        <v>690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 t="shared" si="7"/>
        <v>168</v>
      </c>
      <c r="F28" s="5">
        <f t="shared" si="8"/>
        <v>2520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 t="shared" si="7"/>
        <v>81</v>
      </c>
      <c r="F29" s="5">
        <f t="shared" si="8"/>
        <v>1215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ref="F30:F34" si="10">PRODUCT(E30,15)</f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10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10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10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10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54360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>
      <selection activeCell="A17" sqref="A17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40001</v>
      </c>
      <c r="B3" s="3" t="s">
        <v>151</v>
      </c>
      <c r="C3" s="3" t="s">
        <v>152</v>
      </c>
      <c r="D3" s="4">
        <v>34</v>
      </c>
      <c r="E3" s="3" t="s">
        <v>26</v>
      </c>
      <c r="F3" s="3" t="s">
        <v>153</v>
      </c>
      <c r="G3" s="3" t="s">
        <v>154</v>
      </c>
      <c r="H3" s="3" t="s">
        <v>34</v>
      </c>
      <c r="I3" s="5">
        <v>280</v>
      </c>
      <c r="J3" s="5" t="s">
        <v>21</v>
      </c>
      <c r="K3" s="5" t="s">
        <v>21</v>
      </c>
      <c r="L3" s="5" t="s">
        <v>21</v>
      </c>
      <c r="M3" s="5" t="s">
        <v>22</v>
      </c>
      <c r="N3" s="6">
        <v>150</v>
      </c>
      <c r="O3" s="5">
        <f t="shared" ref="O3:O17" si="0">SUM(I3:L3)</f>
        <v>280</v>
      </c>
      <c r="P3" s="5">
        <f t="shared" ref="P3:P5" si="1">O3-(O3*$T$4)+N3</f>
        <v>388</v>
      </c>
      <c r="Q3" s="5">
        <f t="shared" ref="Q3:Q17" si="2">P3*$T$5</f>
        <v>60105.08</v>
      </c>
      <c r="S3" s="7" t="s">
        <v>23</v>
      </c>
      <c r="T3" s="8">
        <v>0.1</v>
      </c>
    </row>
    <row r="4" spans="1:20" ht="14.25" customHeight="1" x14ac:dyDescent="0.25">
      <c r="A4" s="2">
        <v>40002</v>
      </c>
      <c r="B4" s="3" t="s">
        <v>155</v>
      </c>
      <c r="C4" s="3" t="s">
        <v>37</v>
      </c>
      <c r="D4" s="4">
        <v>23</v>
      </c>
      <c r="E4" s="3" t="s">
        <v>26</v>
      </c>
      <c r="F4" s="3" t="s">
        <v>156</v>
      </c>
      <c r="G4" s="3" t="s">
        <v>157</v>
      </c>
      <c r="H4" s="3" t="s">
        <v>34</v>
      </c>
      <c r="I4" s="5">
        <v>280</v>
      </c>
      <c r="J4" s="5" t="s">
        <v>21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280</v>
      </c>
      <c r="P4" s="5">
        <f t="shared" si="1"/>
        <v>388</v>
      </c>
      <c r="Q4" s="5">
        <f t="shared" si="2"/>
        <v>60105.08</v>
      </c>
      <c r="S4" s="7" t="s">
        <v>29</v>
      </c>
      <c r="T4" s="8">
        <v>0.15</v>
      </c>
    </row>
    <row r="5" spans="1:20" ht="14.25" customHeight="1" x14ac:dyDescent="0.25">
      <c r="A5" s="2">
        <v>40003</v>
      </c>
      <c r="B5" s="3" t="s">
        <v>158</v>
      </c>
      <c r="C5" s="3" t="s">
        <v>71</v>
      </c>
      <c r="D5" s="4">
        <v>32</v>
      </c>
      <c r="E5" s="3" t="s">
        <v>17</v>
      </c>
      <c r="F5" s="3" t="s">
        <v>159</v>
      </c>
      <c r="G5" s="3" t="s">
        <v>160</v>
      </c>
      <c r="H5" s="3" t="s">
        <v>34</v>
      </c>
      <c r="I5" s="5">
        <v>280</v>
      </c>
      <c r="J5" s="5" t="s">
        <v>21</v>
      </c>
      <c r="K5" s="5" t="s">
        <v>21</v>
      </c>
      <c r="L5" s="5" t="s">
        <v>21</v>
      </c>
      <c r="M5" s="5" t="s">
        <v>40</v>
      </c>
      <c r="N5" s="6">
        <v>50</v>
      </c>
      <c r="O5" s="5">
        <f t="shared" si="0"/>
        <v>280</v>
      </c>
      <c r="P5" s="5">
        <f t="shared" si="1"/>
        <v>288</v>
      </c>
      <c r="Q5" s="5">
        <f t="shared" si="2"/>
        <v>44614.080000000002</v>
      </c>
      <c r="S5" s="7" t="s">
        <v>35</v>
      </c>
      <c r="T5" s="9">
        <v>154.91</v>
      </c>
    </row>
    <row r="6" spans="1:20" ht="14.25" customHeight="1" x14ac:dyDescent="0.25">
      <c r="A6" s="2">
        <v>40007</v>
      </c>
      <c r="B6" s="3" t="s">
        <v>78</v>
      </c>
      <c r="C6" s="3" t="s">
        <v>161</v>
      </c>
      <c r="D6" s="4">
        <v>26</v>
      </c>
      <c r="E6" s="3" t="s">
        <v>162</v>
      </c>
      <c r="F6" s="3" t="s">
        <v>163</v>
      </c>
      <c r="G6" s="3" t="s">
        <v>164</v>
      </c>
      <c r="H6" s="3" t="s">
        <v>20</v>
      </c>
      <c r="I6" s="5" t="s">
        <v>21</v>
      </c>
      <c r="J6" s="5">
        <v>93.33</v>
      </c>
      <c r="K6" s="5" t="s">
        <v>21</v>
      </c>
      <c r="L6" s="5" t="s">
        <v>21</v>
      </c>
      <c r="M6" s="5" t="s">
        <v>22</v>
      </c>
      <c r="N6" s="6">
        <v>150</v>
      </c>
      <c r="O6" s="5">
        <f t="shared" si="0"/>
        <v>93.33</v>
      </c>
      <c r="P6" s="5">
        <f t="shared" ref="P6:P7" si="3">O6+(O6*$T$3)+N6</f>
        <v>252.66300000000001</v>
      </c>
      <c r="Q6" s="5">
        <f t="shared" si="2"/>
        <v>39140.025330000004</v>
      </c>
    </row>
    <row r="7" spans="1:20" ht="14.25" customHeight="1" x14ac:dyDescent="0.25">
      <c r="A7" s="2">
        <v>40008</v>
      </c>
      <c r="B7" s="3" t="s">
        <v>165</v>
      </c>
      <c r="C7" s="3" t="s">
        <v>25</v>
      </c>
      <c r="D7" s="4">
        <v>43</v>
      </c>
      <c r="E7" s="3" t="s">
        <v>162</v>
      </c>
      <c r="F7" s="3" t="s">
        <v>166</v>
      </c>
      <c r="G7" s="3" t="s">
        <v>167</v>
      </c>
      <c r="H7" s="3" t="s">
        <v>20</v>
      </c>
      <c r="I7" s="5" t="s">
        <v>21</v>
      </c>
      <c r="J7" s="5">
        <v>93.33</v>
      </c>
      <c r="K7" s="5">
        <v>93.33</v>
      </c>
      <c r="L7" s="5">
        <v>93.33</v>
      </c>
      <c r="M7" s="5" t="s">
        <v>22</v>
      </c>
      <c r="N7" s="6">
        <v>150</v>
      </c>
      <c r="O7" s="5">
        <f t="shared" si="0"/>
        <v>279.99</v>
      </c>
      <c r="P7" s="5">
        <f t="shared" si="3"/>
        <v>457.98900000000003</v>
      </c>
      <c r="Q7" s="5">
        <f t="shared" si="2"/>
        <v>70947.075989999998</v>
      </c>
    </row>
    <row r="8" spans="1:20" ht="14.25" customHeight="1" x14ac:dyDescent="0.25">
      <c r="A8" s="2">
        <v>40009</v>
      </c>
      <c r="B8" s="3" t="s">
        <v>168</v>
      </c>
      <c r="C8" s="3" t="s">
        <v>169</v>
      </c>
      <c r="D8" s="4">
        <v>45</v>
      </c>
      <c r="E8" s="3" t="s">
        <v>162</v>
      </c>
      <c r="F8" s="3" t="s">
        <v>170</v>
      </c>
      <c r="G8" s="3" t="s">
        <v>171</v>
      </c>
      <c r="H8" s="3" t="s">
        <v>34</v>
      </c>
      <c r="I8" s="5">
        <v>280</v>
      </c>
      <c r="J8" s="5" t="s">
        <v>21</v>
      </c>
      <c r="K8" s="5" t="s">
        <v>21</v>
      </c>
      <c r="L8" s="5" t="s">
        <v>21</v>
      </c>
      <c r="M8" s="5" t="s">
        <v>40</v>
      </c>
      <c r="N8" s="6">
        <v>50</v>
      </c>
      <c r="O8" s="5">
        <f t="shared" si="0"/>
        <v>280</v>
      </c>
      <c r="P8" s="5">
        <f t="shared" ref="P8:P9" si="4">O8-(O8*$T$4)+N8</f>
        <v>288</v>
      </c>
      <c r="Q8" s="5">
        <f t="shared" si="2"/>
        <v>44614.080000000002</v>
      </c>
    </row>
    <row r="9" spans="1:20" ht="14.25" customHeight="1" x14ac:dyDescent="0.25">
      <c r="A9" s="2">
        <v>40004</v>
      </c>
      <c r="B9" s="3" t="s">
        <v>172</v>
      </c>
      <c r="C9" s="3" t="s">
        <v>173</v>
      </c>
      <c r="D9" s="4">
        <v>22</v>
      </c>
      <c r="E9" s="3" t="s">
        <v>17</v>
      </c>
      <c r="F9" s="3" t="s">
        <v>174</v>
      </c>
      <c r="G9" s="3" t="s">
        <v>175</v>
      </c>
      <c r="H9" s="3" t="s">
        <v>34</v>
      </c>
      <c r="I9" s="5">
        <v>280</v>
      </c>
      <c r="J9" s="5" t="s">
        <v>21</v>
      </c>
      <c r="K9" s="5" t="s">
        <v>21</v>
      </c>
      <c r="L9" s="5" t="s">
        <v>21</v>
      </c>
      <c r="M9" s="5" t="s">
        <v>40</v>
      </c>
      <c r="N9" s="6">
        <v>50</v>
      </c>
      <c r="O9" s="5">
        <f t="shared" si="0"/>
        <v>280</v>
      </c>
      <c r="P9" s="5">
        <f t="shared" si="4"/>
        <v>288</v>
      </c>
      <c r="Q9" s="5">
        <f t="shared" si="2"/>
        <v>44614.080000000002</v>
      </c>
    </row>
    <row r="10" spans="1:20" ht="14.25" customHeight="1" x14ac:dyDescent="0.25">
      <c r="A10" s="2">
        <v>40005</v>
      </c>
      <c r="B10" s="3" t="s">
        <v>176</v>
      </c>
      <c r="C10" s="3" t="s">
        <v>177</v>
      </c>
      <c r="D10" s="4">
        <v>34</v>
      </c>
      <c r="E10" s="3" t="s">
        <v>17</v>
      </c>
      <c r="F10" s="3" t="s">
        <v>178</v>
      </c>
      <c r="G10" s="3" t="s">
        <v>179</v>
      </c>
      <c r="H10" s="3" t="s">
        <v>20</v>
      </c>
      <c r="I10" s="5" t="s">
        <v>21</v>
      </c>
      <c r="J10" s="5">
        <v>93.33</v>
      </c>
      <c r="K10" s="5" t="s">
        <v>21</v>
      </c>
      <c r="L10" s="5" t="s">
        <v>21</v>
      </c>
      <c r="M10" s="5" t="s">
        <v>22</v>
      </c>
      <c r="N10" s="6">
        <v>150</v>
      </c>
      <c r="O10" s="5">
        <f t="shared" si="0"/>
        <v>93.33</v>
      </c>
      <c r="P10" s="5">
        <f t="shared" ref="P10:P13" si="5">O10+(O10*$T$3)+N10</f>
        <v>252.66300000000001</v>
      </c>
      <c r="Q10" s="5">
        <f t="shared" si="2"/>
        <v>39140.025330000004</v>
      </c>
    </row>
    <row r="11" spans="1:20" ht="14.25" customHeight="1" x14ac:dyDescent="0.25">
      <c r="A11" s="2">
        <v>40010</v>
      </c>
      <c r="B11" s="3" t="s">
        <v>180</v>
      </c>
      <c r="C11" s="3" t="s">
        <v>181</v>
      </c>
      <c r="D11" s="4">
        <v>23</v>
      </c>
      <c r="E11" s="3" t="s">
        <v>17</v>
      </c>
      <c r="F11" s="3" t="s">
        <v>182</v>
      </c>
      <c r="G11" s="3" t="s">
        <v>183</v>
      </c>
      <c r="H11" s="3" t="s">
        <v>20</v>
      </c>
      <c r="I11" s="5" t="s">
        <v>21</v>
      </c>
      <c r="J11" s="5">
        <v>93.33</v>
      </c>
      <c r="K11" s="5">
        <v>93.33</v>
      </c>
      <c r="L11" s="5" t="s">
        <v>21</v>
      </c>
      <c r="M11" s="5" t="s">
        <v>22</v>
      </c>
      <c r="N11" s="6">
        <v>150</v>
      </c>
      <c r="O11" s="5">
        <f t="shared" si="0"/>
        <v>186.66</v>
      </c>
      <c r="P11" s="5">
        <f t="shared" si="5"/>
        <v>355.32600000000002</v>
      </c>
      <c r="Q11" s="5">
        <f t="shared" si="2"/>
        <v>55043.550660000001</v>
      </c>
    </row>
    <row r="12" spans="1:20" ht="14.25" customHeight="1" x14ac:dyDescent="0.25">
      <c r="A12" s="2">
        <v>40011</v>
      </c>
      <c r="B12" s="3" t="s">
        <v>184</v>
      </c>
      <c r="C12" s="3" t="s">
        <v>185</v>
      </c>
      <c r="D12" s="4">
        <v>23</v>
      </c>
      <c r="E12" s="3" t="s">
        <v>26</v>
      </c>
      <c r="F12" s="3" t="s">
        <v>186</v>
      </c>
      <c r="G12" s="3" t="s">
        <v>187</v>
      </c>
      <c r="H12" s="3" t="s">
        <v>20</v>
      </c>
      <c r="I12" s="5" t="s">
        <v>21</v>
      </c>
      <c r="J12" s="5">
        <v>93.33</v>
      </c>
      <c r="K12" s="5" t="s">
        <v>21</v>
      </c>
      <c r="L12" s="5" t="s">
        <v>21</v>
      </c>
      <c r="M12" s="5" t="s">
        <v>40</v>
      </c>
      <c r="N12" s="6">
        <v>50</v>
      </c>
      <c r="O12" s="5">
        <f t="shared" si="0"/>
        <v>93.33</v>
      </c>
      <c r="P12" s="5">
        <f t="shared" si="5"/>
        <v>152.66300000000001</v>
      </c>
      <c r="Q12" s="5">
        <f t="shared" si="2"/>
        <v>23649.02533</v>
      </c>
    </row>
    <row r="13" spans="1:20" ht="14.25" customHeight="1" x14ac:dyDescent="0.25">
      <c r="A13" s="2">
        <v>40012</v>
      </c>
      <c r="B13" s="3" t="s">
        <v>188</v>
      </c>
      <c r="C13" s="3" t="s">
        <v>189</v>
      </c>
      <c r="D13" s="4">
        <v>29</v>
      </c>
      <c r="E13" s="3" t="s">
        <v>17</v>
      </c>
      <c r="F13" s="3" t="s">
        <v>190</v>
      </c>
      <c r="G13" s="3" t="s">
        <v>191</v>
      </c>
      <c r="H13" s="3" t="s">
        <v>20</v>
      </c>
      <c r="I13" s="5" t="s">
        <v>21</v>
      </c>
      <c r="J13" s="5">
        <v>93.33</v>
      </c>
      <c r="K13" s="5">
        <v>93.33</v>
      </c>
      <c r="L13" s="5">
        <v>93.33</v>
      </c>
      <c r="M13" s="5" t="s">
        <v>22</v>
      </c>
      <c r="N13" s="6">
        <v>150</v>
      </c>
      <c r="O13" s="5">
        <f t="shared" si="0"/>
        <v>279.99</v>
      </c>
      <c r="P13" s="5">
        <f t="shared" si="5"/>
        <v>457.98900000000003</v>
      </c>
      <c r="Q13" s="5">
        <f t="shared" si="2"/>
        <v>70947.075989999998</v>
      </c>
    </row>
    <row r="14" spans="1:20" ht="14.25" customHeight="1" x14ac:dyDescent="0.25">
      <c r="A14" s="2">
        <v>40006</v>
      </c>
      <c r="B14" s="3" t="s">
        <v>192</v>
      </c>
      <c r="C14" s="3" t="s">
        <v>193</v>
      </c>
      <c r="D14" s="4">
        <v>30</v>
      </c>
      <c r="E14" s="3" t="s">
        <v>17</v>
      </c>
      <c r="F14" s="3" t="s">
        <v>194</v>
      </c>
      <c r="G14" s="3" t="s">
        <v>195</v>
      </c>
      <c r="H14" s="3" t="s">
        <v>34</v>
      </c>
      <c r="I14" s="5">
        <v>280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280</v>
      </c>
      <c r="P14" s="5">
        <f t="shared" ref="P14:P17" si="6">O14-(O14*$T$4)+N14</f>
        <v>388</v>
      </c>
      <c r="Q14" s="5">
        <f t="shared" si="2"/>
        <v>60105.08</v>
      </c>
    </row>
    <row r="15" spans="1:20" ht="14.25" customHeight="1" x14ac:dyDescent="0.25">
      <c r="A15" s="2">
        <v>40013</v>
      </c>
      <c r="B15" s="3" t="s">
        <v>196</v>
      </c>
      <c r="C15" s="3" t="s">
        <v>197</v>
      </c>
      <c r="D15" s="4">
        <v>32</v>
      </c>
      <c r="E15" s="3" t="s">
        <v>26</v>
      </c>
      <c r="F15" s="3" t="s">
        <v>198</v>
      </c>
      <c r="G15" s="3" t="s">
        <v>199</v>
      </c>
      <c r="H15" s="3" t="s">
        <v>34</v>
      </c>
      <c r="I15" s="5">
        <v>280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280</v>
      </c>
      <c r="P15" s="5">
        <f t="shared" si="6"/>
        <v>388</v>
      </c>
      <c r="Q15" s="5">
        <f t="shared" si="2"/>
        <v>60105.08</v>
      </c>
    </row>
    <row r="16" spans="1:20" ht="14.25" customHeight="1" x14ac:dyDescent="0.25">
      <c r="A16" s="2">
        <v>40014</v>
      </c>
      <c r="B16" s="3" t="s">
        <v>200</v>
      </c>
      <c r="C16" s="3" t="s">
        <v>201</v>
      </c>
      <c r="D16" s="4">
        <v>19</v>
      </c>
      <c r="E16" s="3" t="s">
        <v>26</v>
      </c>
      <c r="F16" s="3" t="s">
        <v>202</v>
      </c>
      <c r="G16" s="3" t="s">
        <v>203</v>
      </c>
      <c r="H16" s="3" t="s">
        <v>34</v>
      </c>
      <c r="I16" s="5">
        <v>280</v>
      </c>
      <c r="J16" s="5" t="s">
        <v>21</v>
      </c>
      <c r="K16" s="5" t="s">
        <v>21</v>
      </c>
      <c r="L16" s="5" t="s">
        <v>21</v>
      </c>
      <c r="M16" s="5" t="s">
        <v>22</v>
      </c>
      <c r="N16" s="6">
        <v>150</v>
      </c>
      <c r="O16" s="5">
        <f t="shared" si="0"/>
        <v>280</v>
      </c>
      <c r="P16" s="5">
        <f t="shared" si="6"/>
        <v>388</v>
      </c>
      <c r="Q16" s="5">
        <f t="shared" si="2"/>
        <v>60105.08</v>
      </c>
    </row>
    <row r="17" spans="1:20" ht="14.25" customHeight="1" x14ac:dyDescent="0.25">
      <c r="A17" s="2">
        <v>40015</v>
      </c>
      <c r="B17" s="3" t="s">
        <v>204</v>
      </c>
      <c r="C17" s="3" t="s">
        <v>205</v>
      </c>
      <c r="D17" s="4">
        <v>39</v>
      </c>
      <c r="E17" s="3" t="s">
        <v>17</v>
      </c>
      <c r="F17" s="3" t="s">
        <v>206</v>
      </c>
      <c r="G17" s="3" t="s">
        <v>207</v>
      </c>
      <c r="H17" s="3" t="s">
        <v>34</v>
      </c>
      <c r="I17" s="5">
        <v>280</v>
      </c>
      <c r="J17" s="5" t="s">
        <v>21</v>
      </c>
      <c r="K17" s="5" t="s">
        <v>21</v>
      </c>
      <c r="L17" s="5" t="s">
        <v>21</v>
      </c>
      <c r="M17" s="5" t="s">
        <v>22</v>
      </c>
      <c r="N17" s="6">
        <v>150</v>
      </c>
      <c r="O17" s="5">
        <f t="shared" si="0"/>
        <v>280</v>
      </c>
      <c r="P17" s="5">
        <f t="shared" si="6"/>
        <v>388</v>
      </c>
      <c r="Q17" s="5">
        <f t="shared" si="2"/>
        <v>60105.08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7">SUM(P3:P17)</f>
        <v>5121.2929999999997</v>
      </c>
      <c r="Q19" s="9">
        <f t="shared" si="7"/>
        <v>793339.49862999981</v>
      </c>
    </row>
    <row r="20" spans="1:20" ht="14.25" customHeight="1" x14ac:dyDescent="0.25">
      <c r="A20" s="7" t="s">
        <v>88</v>
      </c>
      <c r="C20" s="9">
        <f>SUM(O3:O17)</f>
        <v>3546.63</v>
      </c>
    </row>
    <row r="21" spans="1:20" ht="14.25" customHeight="1" x14ac:dyDescent="0.25">
      <c r="A21" s="7" t="s">
        <v>89</v>
      </c>
      <c r="C21" s="9">
        <f>SUMIF(N3:N17,"=150")</f>
        <v>1650</v>
      </c>
    </row>
    <row r="22" spans="1:20" ht="14.25" customHeight="1" x14ac:dyDescent="0.25">
      <c r="A22" s="7" t="s">
        <v>90</v>
      </c>
      <c r="C22" s="9">
        <f>SUM(P3:P17)</f>
        <v>5121.2929999999997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'Xod-Us'!E26*D26+'Xod-Us'!E26</f>
        <v>79.349999999999994</v>
      </c>
      <c r="F26" s="5">
        <f t="shared" ref="F26:F34" si="8">PRODUCT(E26,15)</f>
        <v>1190.25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'Xod-Us'!E27*D27+'Xod-Us'!E27</f>
        <v>52.9</v>
      </c>
      <c r="F27" s="5">
        <f t="shared" si="8"/>
        <v>793.5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'Xod-Us'!E28*D28+'Xod-Us'!E28</f>
        <v>188.16</v>
      </c>
      <c r="F28" s="5">
        <f t="shared" si="8"/>
        <v>2822.4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'Xod-Us'!E29*D29+'Xod-Us'!E29</f>
        <v>87.48</v>
      </c>
      <c r="F29" s="5">
        <f t="shared" si="8"/>
        <v>1312.2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9">C30/5</f>
        <v>600</v>
      </c>
      <c r="F30" s="5">
        <f t="shared" si="8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9"/>
        <v>500</v>
      </c>
      <c r="F31" s="5">
        <f t="shared" si="8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9"/>
        <v>800</v>
      </c>
      <c r="F32" s="5">
        <f t="shared" si="8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9"/>
        <v>360</v>
      </c>
      <c r="F33" s="5">
        <f t="shared" si="8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9"/>
        <v>1000</v>
      </c>
      <c r="F34" s="5">
        <f t="shared" si="8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55018.35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>
      <selection activeCell="A10" sqref="A10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50012</v>
      </c>
      <c r="B3" s="3" t="s">
        <v>208</v>
      </c>
      <c r="C3" s="3" t="s">
        <v>16</v>
      </c>
      <c r="D3" s="4">
        <v>32</v>
      </c>
      <c r="E3" s="3" t="s">
        <v>17</v>
      </c>
      <c r="F3" s="3" t="s">
        <v>209</v>
      </c>
      <c r="G3" s="3" t="s">
        <v>210</v>
      </c>
      <c r="H3" s="3" t="s">
        <v>20</v>
      </c>
      <c r="I3" s="5" t="s">
        <v>21</v>
      </c>
      <c r="J3" s="5">
        <v>116.7</v>
      </c>
      <c r="K3" s="5">
        <v>116.7</v>
      </c>
      <c r="L3" s="5" t="s">
        <v>21</v>
      </c>
      <c r="M3" s="5" t="s">
        <v>40</v>
      </c>
      <c r="N3" s="6">
        <v>50</v>
      </c>
      <c r="O3" s="5">
        <f t="shared" ref="O3:O17" si="0">SUM(I3:L3)</f>
        <v>233.4</v>
      </c>
      <c r="P3" s="5">
        <f t="shared" ref="P3:P4" si="1">O3+(O3*$T$3)+N3</f>
        <v>306.74</v>
      </c>
      <c r="Q3" s="5">
        <f t="shared" ref="Q3:Q17" si="2">P3*$T$5</f>
        <v>47517.093399999998</v>
      </c>
      <c r="S3" s="7" t="s">
        <v>23</v>
      </c>
      <c r="T3" s="8">
        <v>0.1</v>
      </c>
    </row>
    <row r="4" spans="1:20" ht="14.25" customHeight="1" x14ac:dyDescent="0.25">
      <c r="A4" s="2">
        <v>50013</v>
      </c>
      <c r="B4" s="3" t="s">
        <v>211</v>
      </c>
      <c r="C4" s="3" t="s">
        <v>212</v>
      </c>
      <c r="D4" s="4">
        <v>25</v>
      </c>
      <c r="E4" s="3" t="s">
        <v>26</v>
      </c>
      <c r="F4" s="3" t="s">
        <v>213</v>
      </c>
      <c r="G4" s="3" t="s">
        <v>214</v>
      </c>
      <c r="H4" s="3" t="s">
        <v>20</v>
      </c>
      <c r="I4" s="5" t="s">
        <v>21</v>
      </c>
      <c r="J4" s="5">
        <v>116.7</v>
      </c>
      <c r="K4" s="5">
        <v>116.7</v>
      </c>
      <c r="L4" s="5">
        <v>116.7</v>
      </c>
      <c r="M4" s="5" t="s">
        <v>40</v>
      </c>
      <c r="N4" s="6">
        <v>50</v>
      </c>
      <c r="O4" s="5">
        <f t="shared" si="0"/>
        <v>350.1</v>
      </c>
      <c r="P4" s="5">
        <f t="shared" si="1"/>
        <v>435.11</v>
      </c>
      <c r="Q4" s="5">
        <f t="shared" si="2"/>
        <v>67402.890100000004</v>
      </c>
      <c r="S4" s="7" t="s">
        <v>29</v>
      </c>
      <c r="T4" s="8">
        <v>0.15</v>
      </c>
    </row>
    <row r="5" spans="1:20" ht="14.25" customHeight="1" x14ac:dyDescent="0.25">
      <c r="A5" s="2">
        <v>50005</v>
      </c>
      <c r="B5" s="3" t="s">
        <v>41</v>
      </c>
      <c r="C5" s="3" t="s">
        <v>215</v>
      </c>
      <c r="D5" s="4">
        <v>43</v>
      </c>
      <c r="E5" s="3" t="s">
        <v>17</v>
      </c>
      <c r="F5" s="3" t="s">
        <v>216</v>
      </c>
      <c r="G5" s="3" t="s">
        <v>217</v>
      </c>
      <c r="H5" s="3" t="s">
        <v>34</v>
      </c>
      <c r="I5" s="5">
        <v>350</v>
      </c>
      <c r="J5" s="5" t="s">
        <v>21</v>
      </c>
      <c r="K5" s="5" t="s">
        <v>21</v>
      </c>
      <c r="L5" s="5" t="s">
        <v>21</v>
      </c>
      <c r="M5" s="5" t="s">
        <v>218</v>
      </c>
      <c r="N5" s="6">
        <v>150</v>
      </c>
      <c r="O5" s="5">
        <f t="shared" si="0"/>
        <v>350</v>
      </c>
      <c r="P5" s="5">
        <f>O5-(O5*$T$4)+N5</f>
        <v>447.5</v>
      </c>
      <c r="Q5" s="5">
        <f t="shared" si="2"/>
        <v>69322.224999999991</v>
      </c>
      <c r="S5" s="7" t="s">
        <v>35</v>
      </c>
      <c r="T5" s="9">
        <v>154.91</v>
      </c>
    </row>
    <row r="6" spans="1:20" ht="14.25" customHeight="1" x14ac:dyDescent="0.25">
      <c r="A6" s="2">
        <v>50014</v>
      </c>
      <c r="B6" s="3" t="s">
        <v>116</v>
      </c>
      <c r="C6" s="3" t="s">
        <v>25</v>
      </c>
      <c r="D6" s="4">
        <v>19</v>
      </c>
      <c r="E6" s="3" t="s">
        <v>26</v>
      </c>
      <c r="F6" s="3" t="s">
        <v>219</v>
      </c>
      <c r="G6" s="3" t="s">
        <v>220</v>
      </c>
      <c r="H6" s="3" t="s">
        <v>20</v>
      </c>
      <c r="I6" s="5" t="s">
        <v>21</v>
      </c>
      <c r="J6" s="5">
        <v>116.7</v>
      </c>
      <c r="K6" s="5">
        <v>116.7</v>
      </c>
      <c r="L6" s="5">
        <v>116.7</v>
      </c>
      <c r="M6" s="5" t="s">
        <v>218</v>
      </c>
      <c r="N6" s="6">
        <v>150</v>
      </c>
      <c r="O6" s="5">
        <f t="shared" si="0"/>
        <v>350.1</v>
      </c>
      <c r="P6" s="5">
        <f>O6+(O6*$T$3)+N6</f>
        <v>535.11</v>
      </c>
      <c r="Q6" s="5">
        <f t="shared" si="2"/>
        <v>82893.890100000004</v>
      </c>
    </row>
    <row r="7" spans="1:20" ht="14.25" customHeight="1" x14ac:dyDescent="0.25">
      <c r="A7" s="2">
        <v>50006</v>
      </c>
      <c r="B7" s="3" t="s">
        <v>30</v>
      </c>
      <c r="C7" s="3" t="s">
        <v>37</v>
      </c>
      <c r="D7" s="4">
        <v>38</v>
      </c>
      <c r="E7" s="3" t="s">
        <v>17</v>
      </c>
      <c r="F7" s="3" t="s">
        <v>221</v>
      </c>
      <c r="G7" s="3" t="s">
        <v>222</v>
      </c>
      <c r="H7" s="3" t="s">
        <v>34</v>
      </c>
      <c r="I7" s="5">
        <v>350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350</v>
      </c>
      <c r="P7" s="5">
        <f t="shared" ref="P7:P9" si="3">O7-(O7*$T$4)+N7</f>
        <v>347.5</v>
      </c>
      <c r="Q7" s="5">
        <f t="shared" si="2"/>
        <v>53831.224999999999</v>
      </c>
    </row>
    <row r="8" spans="1:20" ht="14.25" customHeight="1" x14ac:dyDescent="0.25">
      <c r="A8" s="2">
        <v>50007</v>
      </c>
      <c r="B8" s="3" t="s">
        <v>66</v>
      </c>
      <c r="C8" s="3" t="s">
        <v>63</v>
      </c>
      <c r="D8" s="4">
        <v>51</v>
      </c>
      <c r="E8" s="3" t="s">
        <v>17</v>
      </c>
      <c r="F8" s="3" t="s">
        <v>223</v>
      </c>
      <c r="G8" s="3" t="s">
        <v>224</v>
      </c>
      <c r="H8" s="3" t="s">
        <v>34</v>
      </c>
      <c r="I8" s="5">
        <v>350</v>
      </c>
      <c r="J8" s="5" t="s">
        <v>21</v>
      </c>
      <c r="K8" s="5" t="s">
        <v>21</v>
      </c>
      <c r="L8" s="5" t="s">
        <v>21</v>
      </c>
      <c r="M8" s="5" t="s">
        <v>40</v>
      </c>
      <c r="N8" s="6">
        <v>50</v>
      </c>
      <c r="O8" s="5">
        <f t="shared" si="0"/>
        <v>350</v>
      </c>
      <c r="P8" s="5">
        <f t="shared" si="3"/>
        <v>347.5</v>
      </c>
      <c r="Q8" s="5">
        <f t="shared" si="2"/>
        <v>53831.224999999999</v>
      </c>
    </row>
    <row r="9" spans="1:20" ht="14.25" customHeight="1" x14ac:dyDescent="0.25">
      <c r="A9" s="2">
        <v>50008</v>
      </c>
      <c r="B9" s="3" t="s">
        <v>62</v>
      </c>
      <c r="C9" s="3" t="s">
        <v>113</v>
      </c>
      <c r="D9" s="4">
        <v>27</v>
      </c>
      <c r="E9" s="3" t="s">
        <v>26</v>
      </c>
      <c r="F9" s="3" t="s">
        <v>225</v>
      </c>
      <c r="G9" s="3" t="s">
        <v>226</v>
      </c>
      <c r="H9" s="3" t="s">
        <v>34</v>
      </c>
      <c r="I9" s="5">
        <v>350</v>
      </c>
      <c r="J9" s="5" t="s">
        <v>21</v>
      </c>
      <c r="K9" s="5" t="s">
        <v>21</v>
      </c>
      <c r="L9" s="5" t="s">
        <v>21</v>
      </c>
      <c r="M9" s="5" t="s">
        <v>218</v>
      </c>
      <c r="N9" s="6">
        <v>150</v>
      </c>
      <c r="O9" s="5">
        <f t="shared" si="0"/>
        <v>350</v>
      </c>
      <c r="P9" s="5">
        <f t="shared" si="3"/>
        <v>447.5</v>
      </c>
      <c r="Q9" s="5">
        <f t="shared" si="2"/>
        <v>69322.224999999991</v>
      </c>
    </row>
    <row r="10" spans="1:20" ht="14.25" customHeight="1" x14ac:dyDescent="0.25">
      <c r="A10" s="2">
        <v>50015</v>
      </c>
      <c r="B10" s="3" t="s">
        <v>50</v>
      </c>
      <c r="C10" s="3" t="s">
        <v>227</v>
      </c>
      <c r="D10" s="4">
        <v>36</v>
      </c>
      <c r="E10" s="3" t="s">
        <v>17</v>
      </c>
      <c r="F10" s="3" t="s">
        <v>228</v>
      </c>
      <c r="G10" s="3" t="s">
        <v>229</v>
      </c>
      <c r="H10" s="3" t="s">
        <v>20</v>
      </c>
      <c r="I10" s="5" t="s">
        <v>21</v>
      </c>
      <c r="J10" s="5">
        <v>116.7</v>
      </c>
      <c r="K10" s="5" t="s">
        <v>21</v>
      </c>
      <c r="L10" s="5" t="s">
        <v>21</v>
      </c>
      <c r="M10" s="5" t="s">
        <v>218</v>
      </c>
      <c r="N10" s="6">
        <v>150</v>
      </c>
      <c r="O10" s="5">
        <f t="shared" si="0"/>
        <v>116.7</v>
      </c>
      <c r="P10" s="5">
        <f t="shared" ref="P10:P15" si="4">O10+(O10*$T$3)+N10</f>
        <v>278.37</v>
      </c>
      <c r="Q10" s="5">
        <f t="shared" si="2"/>
        <v>43122.296699999999</v>
      </c>
    </row>
    <row r="11" spans="1:20" ht="14.25" customHeight="1" x14ac:dyDescent="0.25">
      <c r="A11" s="2">
        <v>50009</v>
      </c>
      <c r="B11" s="3" t="s">
        <v>230</v>
      </c>
      <c r="C11" s="3" t="s">
        <v>231</v>
      </c>
      <c r="D11" s="4">
        <v>22</v>
      </c>
      <c r="E11" s="3" t="s">
        <v>26</v>
      </c>
      <c r="F11" s="3" t="s">
        <v>232</v>
      </c>
      <c r="G11" s="3" t="s">
        <v>233</v>
      </c>
      <c r="H11" s="3" t="s">
        <v>34</v>
      </c>
      <c r="I11" s="5">
        <v>350</v>
      </c>
      <c r="J11" s="5" t="s">
        <v>21</v>
      </c>
      <c r="K11" s="5" t="s">
        <v>21</v>
      </c>
      <c r="L11" s="5" t="s">
        <v>21</v>
      </c>
      <c r="M11" s="5" t="s">
        <v>218</v>
      </c>
      <c r="N11" s="6">
        <v>150</v>
      </c>
      <c r="O11" s="5">
        <f t="shared" si="0"/>
        <v>350</v>
      </c>
      <c r="P11" s="5">
        <f t="shared" si="4"/>
        <v>535</v>
      </c>
      <c r="Q11" s="5">
        <f t="shared" si="2"/>
        <v>82876.849999999991</v>
      </c>
    </row>
    <row r="12" spans="1:20" ht="14.25" customHeight="1" x14ac:dyDescent="0.25">
      <c r="A12" s="2">
        <v>50001</v>
      </c>
      <c r="B12" s="3" t="s">
        <v>82</v>
      </c>
      <c r="C12" s="3" t="s">
        <v>55</v>
      </c>
      <c r="D12" s="4">
        <v>47</v>
      </c>
      <c r="E12" s="3" t="s">
        <v>17</v>
      </c>
      <c r="F12" s="3" t="s">
        <v>234</v>
      </c>
      <c r="G12" s="3" t="s">
        <v>235</v>
      </c>
      <c r="H12" s="3" t="s">
        <v>20</v>
      </c>
      <c r="I12" s="5" t="s">
        <v>21</v>
      </c>
      <c r="J12" s="5">
        <v>116.7</v>
      </c>
      <c r="K12" s="5">
        <v>116.7</v>
      </c>
      <c r="L12" s="5">
        <v>116.7</v>
      </c>
      <c r="M12" s="5" t="s">
        <v>40</v>
      </c>
      <c r="N12" s="6">
        <v>50</v>
      </c>
      <c r="O12" s="5">
        <f t="shared" si="0"/>
        <v>350.1</v>
      </c>
      <c r="P12" s="5">
        <f t="shared" si="4"/>
        <v>435.11</v>
      </c>
      <c r="Q12" s="5">
        <f t="shared" si="2"/>
        <v>67402.890100000004</v>
      </c>
    </row>
    <row r="13" spans="1:20" ht="14.25" customHeight="1" x14ac:dyDescent="0.25">
      <c r="A13" s="2">
        <v>50002</v>
      </c>
      <c r="B13" s="3" t="s">
        <v>74</v>
      </c>
      <c r="C13" s="3" t="s">
        <v>236</v>
      </c>
      <c r="D13" s="4">
        <v>30</v>
      </c>
      <c r="E13" s="3" t="s">
        <v>17</v>
      </c>
      <c r="F13" s="3" t="s">
        <v>237</v>
      </c>
      <c r="G13" s="3" t="s">
        <v>238</v>
      </c>
      <c r="H13" s="3" t="s">
        <v>20</v>
      </c>
      <c r="I13" s="5" t="s">
        <v>21</v>
      </c>
      <c r="J13" s="5">
        <v>116.7</v>
      </c>
      <c r="K13" s="5">
        <v>116.7</v>
      </c>
      <c r="L13" s="5" t="s">
        <v>21</v>
      </c>
      <c r="M13" s="5" t="s">
        <v>40</v>
      </c>
      <c r="N13" s="6">
        <v>50</v>
      </c>
      <c r="O13" s="5">
        <f t="shared" si="0"/>
        <v>233.4</v>
      </c>
      <c r="P13" s="5">
        <f t="shared" si="4"/>
        <v>306.74</v>
      </c>
      <c r="Q13" s="5">
        <f t="shared" si="2"/>
        <v>47517.093399999998</v>
      </c>
    </row>
    <row r="14" spans="1:20" ht="14.25" customHeight="1" x14ac:dyDescent="0.25">
      <c r="A14" s="2">
        <v>50003</v>
      </c>
      <c r="B14" s="3" t="s">
        <v>126</v>
      </c>
      <c r="C14" s="3" t="s">
        <v>51</v>
      </c>
      <c r="D14" s="4">
        <v>56</v>
      </c>
      <c r="E14" s="3" t="s">
        <v>26</v>
      </c>
      <c r="F14" s="3" t="s">
        <v>239</v>
      </c>
      <c r="G14" s="3" t="s">
        <v>240</v>
      </c>
      <c r="H14" s="3" t="s">
        <v>20</v>
      </c>
      <c r="I14" s="5" t="s">
        <v>21</v>
      </c>
      <c r="J14" s="5">
        <v>116.7</v>
      </c>
      <c r="K14" s="5">
        <v>116.7</v>
      </c>
      <c r="L14" s="5" t="s">
        <v>21</v>
      </c>
      <c r="M14" s="5" t="s">
        <v>40</v>
      </c>
      <c r="N14" s="6">
        <v>50</v>
      </c>
      <c r="O14" s="5">
        <f t="shared" si="0"/>
        <v>233.4</v>
      </c>
      <c r="P14" s="5">
        <f t="shared" si="4"/>
        <v>306.74</v>
      </c>
      <c r="Q14" s="5">
        <f t="shared" si="2"/>
        <v>47517.093399999998</v>
      </c>
    </row>
    <row r="15" spans="1:20" ht="14.25" customHeight="1" x14ac:dyDescent="0.25">
      <c r="A15" s="2">
        <v>50004</v>
      </c>
      <c r="B15" s="3" t="s">
        <v>241</v>
      </c>
      <c r="C15" s="3" t="s">
        <v>55</v>
      </c>
      <c r="D15" s="4">
        <v>41</v>
      </c>
      <c r="E15" s="3" t="s">
        <v>26</v>
      </c>
      <c r="F15" s="3" t="s">
        <v>242</v>
      </c>
      <c r="G15" s="3" t="s">
        <v>243</v>
      </c>
      <c r="H15" s="3" t="s">
        <v>20</v>
      </c>
      <c r="I15" s="5" t="s">
        <v>21</v>
      </c>
      <c r="J15" s="5">
        <v>116.7</v>
      </c>
      <c r="K15" s="5">
        <v>116.7</v>
      </c>
      <c r="L15" s="5" t="s">
        <v>21</v>
      </c>
      <c r="M15" s="5" t="s">
        <v>218</v>
      </c>
      <c r="N15" s="6">
        <v>150</v>
      </c>
      <c r="O15" s="5">
        <f t="shared" si="0"/>
        <v>233.4</v>
      </c>
      <c r="P15" s="5">
        <f t="shared" si="4"/>
        <v>406.74</v>
      </c>
      <c r="Q15" s="5">
        <f t="shared" si="2"/>
        <v>63008.093399999998</v>
      </c>
    </row>
    <row r="16" spans="1:20" ht="14.25" customHeight="1" x14ac:dyDescent="0.25">
      <c r="A16" s="2">
        <v>50010</v>
      </c>
      <c r="B16" s="3" t="s">
        <v>143</v>
      </c>
      <c r="C16" s="3" t="s">
        <v>244</v>
      </c>
      <c r="D16" s="4">
        <v>29</v>
      </c>
      <c r="E16" s="3" t="s">
        <v>26</v>
      </c>
      <c r="F16" s="3" t="s">
        <v>245</v>
      </c>
      <c r="G16" s="3" t="s">
        <v>246</v>
      </c>
      <c r="H16" s="3" t="s">
        <v>34</v>
      </c>
      <c r="I16" s="5">
        <v>350</v>
      </c>
      <c r="J16" s="5" t="s">
        <v>21</v>
      </c>
      <c r="K16" s="5" t="s">
        <v>21</v>
      </c>
      <c r="L16" s="5" t="s">
        <v>21</v>
      </c>
      <c r="M16" s="5" t="s">
        <v>218</v>
      </c>
      <c r="N16" s="6">
        <v>150</v>
      </c>
      <c r="O16" s="5">
        <f t="shared" si="0"/>
        <v>350</v>
      </c>
      <c r="P16" s="5">
        <f t="shared" ref="P16:P17" si="5">O16-(O16*$T$4)+N16</f>
        <v>447.5</v>
      </c>
      <c r="Q16" s="5">
        <f t="shared" si="2"/>
        <v>69322.224999999991</v>
      </c>
    </row>
    <row r="17" spans="1:20" ht="14.25" customHeight="1" x14ac:dyDescent="0.25">
      <c r="A17" s="2">
        <v>50011</v>
      </c>
      <c r="B17" s="3" t="s">
        <v>147</v>
      </c>
      <c r="C17" s="3" t="s">
        <v>59</v>
      </c>
      <c r="D17" s="4">
        <v>34</v>
      </c>
      <c r="E17" s="3" t="s">
        <v>17</v>
      </c>
      <c r="F17" s="3" t="s">
        <v>247</v>
      </c>
      <c r="G17" s="3" t="s">
        <v>248</v>
      </c>
      <c r="H17" s="3" t="s">
        <v>34</v>
      </c>
      <c r="I17" s="5">
        <v>350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350</v>
      </c>
      <c r="P17" s="5">
        <f t="shared" si="5"/>
        <v>347.5</v>
      </c>
      <c r="Q17" s="5">
        <f t="shared" si="2"/>
        <v>53831.224999999999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6">SUM(P3:P17)</f>
        <v>5930.6599999999989</v>
      </c>
      <c r="Q19" s="9">
        <f t="shared" si="6"/>
        <v>918718.54059999995</v>
      </c>
    </row>
    <row r="20" spans="1:20" ht="14.25" customHeight="1" x14ac:dyDescent="0.25">
      <c r="A20" s="7" t="s">
        <v>88</v>
      </c>
      <c r="C20" s="9">
        <f>SUM(O3:O17)</f>
        <v>4550.6000000000004</v>
      </c>
    </row>
    <row r="21" spans="1:20" ht="14.25" customHeight="1" x14ac:dyDescent="0.25">
      <c r="A21" s="7" t="s">
        <v>89</v>
      </c>
      <c r="C21" s="9">
        <f>SUMIF(N3:N17,"=150")</f>
        <v>1050</v>
      </c>
    </row>
    <row r="22" spans="1:20" ht="14.25" customHeight="1" x14ac:dyDescent="0.25">
      <c r="A22" s="7" t="s">
        <v>90</v>
      </c>
      <c r="C22" s="9">
        <f>SUM(P3:P17)</f>
        <v>5930.6599999999989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'JamCam X'!E26*D26+'JamCam X'!E26</f>
        <v>91.252499999999998</v>
      </c>
      <c r="F26" s="5">
        <f t="shared" ref="F26:F34" si="7">PRODUCT(E26,15)</f>
        <v>1368.7874999999999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'JamCam X'!E27*D27+'JamCam X'!E27</f>
        <v>60.835000000000001</v>
      </c>
      <c r="F27" s="5">
        <f t="shared" si="7"/>
        <v>912.52499999999998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'JamCam X'!E28*D28+'JamCam X'!E28</f>
        <v>210.73919999999998</v>
      </c>
      <c r="F28" s="5">
        <f t="shared" si="7"/>
        <v>3161.0879999999997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'JamCam X'!E29*D29+'JamCam X'!E29</f>
        <v>94.478400000000008</v>
      </c>
      <c r="F29" s="5">
        <f t="shared" si="7"/>
        <v>1417.1760000000002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8">C30/5</f>
        <v>600</v>
      </c>
      <c r="F30" s="5">
        <f t="shared" si="7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8"/>
        <v>500</v>
      </c>
      <c r="F31" s="5">
        <f t="shared" si="7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8"/>
        <v>800</v>
      </c>
      <c r="F32" s="5">
        <f t="shared" si="7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8"/>
        <v>360</v>
      </c>
      <c r="F33" s="5">
        <f t="shared" si="7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8"/>
        <v>1000</v>
      </c>
      <c r="F34" s="5">
        <f t="shared" si="7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55759.576499999996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selection activeCell="A14" sqref="A14"/>
    </sheetView>
  </sheetViews>
  <sheetFormatPr defaultColWidth="14.42578125" defaultRowHeight="15" customHeight="1" x14ac:dyDescent="0.25"/>
  <cols>
    <col min="1" max="1" width="12.140625" customWidth="1"/>
    <col min="2" max="2" width="17.28515625" customWidth="1"/>
    <col min="3" max="3" width="11.855468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  <col min="20" max="26" width="8.7109375" customWidth="1"/>
  </cols>
  <sheetData>
    <row r="1" spans="1:20" ht="14.2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4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3" t="s">
        <v>10</v>
      </c>
      <c r="K2" s="12"/>
      <c r="L2" s="12"/>
      <c r="M2" s="13" t="s">
        <v>11</v>
      </c>
      <c r="N2" s="12"/>
      <c r="O2" s="1" t="s">
        <v>12</v>
      </c>
      <c r="P2" s="1" t="s">
        <v>13</v>
      </c>
      <c r="Q2" s="1" t="s">
        <v>14</v>
      </c>
    </row>
    <row r="3" spans="1:20" ht="14.25" customHeight="1" x14ac:dyDescent="0.25">
      <c r="A3" s="2">
        <v>60009</v>
      </c>
      <c r="B3" s="3" t="s">
        <v>249</v>
      </c>
      <c r="C3" s="3" t="s">
        <v>144</v>
      </c>
      <c r="D3" s="4">
        <v>32</v>
      </c>
      <c r="E3" s="3" t="s">
        <v>26</v>
      </c>
      <c r="F3" s="3" t="s">
        <v>250</v>
      </c>
      <c r="G3" s="3" t="s">
        <v>251</v>
      </c>
      <c r="H3" s="3" t="s">
        <v>34</v>
      </c>
      <c r="I3" s="5">
        <v>425</v>
      </c>
      <c r="J3" s="5" t="s">
        <v>21</v>
      </c>
      <c r="K3" s="5" t="s">
        <v>21</v>
      </c>
      <c r="L3" s="5" t="s">
        <v>21</v>
      </c>
      <c r="M3" s="5" t="s">
        <v>40</v>
      </c>
      <c r="N3" s="6">
        <v>50</v>
      </c>
      <c r="O3" s="5">
        <f t="shared" ref="O3:O17" si="0">SUM(I3:L3)</f>
        <v>425</v>
      </c>
      <c r="P3" s="5">
        <f t="shared" ref="P3:P5" si="1">O3-(O3*$T$4)+N3</f>
        <v>411.25</v>
      </c>
      <c r="Q3" s="5">
        <f t="shared" ref="Q3:Q17" si="2">P3*$T$5</f>
        <v>63706.737499999996</v>
      </c>
      <c r="S3" s="7" t="s">
        <v>23</v>
      </c>
      <c r="T3" s="8">
        <v>0.1</v>
      </c>
    </row>
    <row r="4" spans="1:20" ht="14.25" customHeight="1" x14ac:dyDescent="0.25">
      <c r="A4" s="2">
        <v>60010</v>
      </c>
      <c r="B4" s="3" t="s">
        <v>252</v>
      </c>
      <c r="C4" s="3" t="s">
        <v>253</v>
      </c>
      <c r="D4" s="4">
        <v>27</v>
      </c>
      <c r="E4" s="3" t="s">
        <v>17</v>
      </c>
      <c r="F4" s="3" t="s">
        <v>254</v>
      </c>
      <c r="G4" s="3" t="s">
        <v>255</v>
      </c>
      <c r="H4" s="3" t="s">
        <v>34</v>
      </c>
      <c r="I4" s="5">
        <v>425</v>
      </c>
      <c r="J4" s="5" t="s">
        <v>21</v>
      </c>
      <c r="K4" s="5" t="s">
        <v>21</v>
      </c>
      <c r="L4" s="5" t="s">
        <v>21</v>
      </c>
      <c r="M4" s="5" t="s">
        <v>22</v>
      </c>
      <c r="N4" s="6">
        <v>150</v>
      </c>
      <c r="O4" s="5">
        <f t="shared" si="0"/>
        <v>425</v>
      </c>
      <c r="P4" s="5">
        <f t="shared" si="1"/>
        <v>511.25</v>
      </c>
      <c r="Q4" s="5">
        <f t="shared" si="2"/>
        <v>79197.737500000003</v>
      </c>
      <c r="S4" s="7" t="s">
        <v>29</v>
      </c>
      <c r="T4" s="8">
        <v>0.15</v>
      </c>
    </row>
    <row r="5" spans="1:20" ht="14.25" customHeight="1" x14ac:dyDescent="0.25">
      <c r="A5" s="2">
        <v>60011</v>
      </c>
      <c r="B5" s="3" t="s">
        <v>230</v>
      </c>
      <c r="C5" s="3" t="s">
        <v>256</v>
      </c>
      <c r="D5" s="4">
        <v>35</v>
      </c>
      <c r="E5" s="3" t="s">
        <v>26</v>
      </c>
      <c r="F5" s="3" t="s">
        <v>257</v>
      </c>
      <c r="G5" s="3" t="s">
        <v>258</v>
      </c>
      <c r="H5" s="3" t="s">
        <v>34</v>
      </c>
      <c r="I5" s="5">
        <v>425</v>
      </c>
      <c r="J5" s="5" t="s">
        <v>21</v>
      </c>
      <c r="K5" s="5" t="s">
        <v>21</v>
      </c>
      <c r="L5" s="5" t="s">
        <v>21</v>
      </c>
      <c r="M5" s="5" t="s">
        <v>22</v>
      </c>
      <c r="N5" s="6">
        <v>150</v>
      </c>
      <c r="O5" s="5">
        <f t="shared" si="0"/>
        <v>425</v>
      </c>
      <c r="P5" s="5">
        <f t="shared" si="1"/>
        <v>511.25</v>
      </c>
      <c r="Q5" s="5">
        <f t="shared" si="2"/>
        <v>79197.737500000003</v>
      </c>
      <c r="S5" s="7" t="s">
        <v>35</v>
      </c>
      <c r="T5" s="9">
        <v>154.91</v>
      </c>
    </row>
    <row r="6" spans="1:20" ht="14.25" customHeight="1" x14ac:dyDescent="0.25">
      <c r="A6" s="2">
        <v>20011</v>
      </c>
      <c r="B6" s="3" t="s">
        <v>259</v>
      </c>
      <c r="C6" s="3" t="s">
        <v>227</v>
      </c>
      <c r="D6" s="4">
        <v>29</v>
      </c>
      <c r="E6" s="3" t="s">
        <v>17</v>
      </c>
      <c r="F6" s="3" t="s">
        <v>260</v>
      </c>
      <c r="G6" s="3" t="s">
        <v>261</v>
      </c>
      <c r="H6" s="3" t="s">
        <v>20</v>
      </c>
      <c r="I6" s="5" t="s">
        <v>21</v>
      </c>
      <c r="J6" s="5">
        <v>141.69999999999999</v>
      </c>
      <c r="K6" s="5">
        <v>141.69999999999999</v>
      </c>
      <c r="L6" s="5" t="s">
        <v>21</v>
      </c>
      <c r="M6" s="5" t="s">
        <v>22</v>
      </c>
      <c r="N6" s="6">
        <v>150</v>
      </c>
      <c r="O6" s="5">
        <f t="shared" si="0"/>
        <v>283.39999999999998</v>
      </c>
      <c r="P6" s="5">
        <f>O3+(O3*$T$3)+N3</f>
        <v>517.5</v>
      </c>
      <c r="Q6" s="5">
        <f t="shared" si="2"/>
        <v>80165.925000000003</v>
      </c>
    </row>
    <row r="7" spans="1:20" ht="14.25" customHeight="1" x14ac:dyDescent="0.25">
      <c r="A7" s="2">
        <v>30013</v>
      </c>
      <c r="B7" s="3" t="s">
        <v>262</v>
      </c>
      <c r="C7" s="3" t="s">
        <v>215</v>
      </c>
      <c r="D7" s="4">
        <v>41</v>
      </c>
      <c r="E7" s="3" t="s">
        <v>26</v>
      </c>
      <c r="F7" s="3" t="s">
        <v>263</v>
      </c>
      <c r="G7" s="3" t="s">
        <v>264</v>
      </c>
      <c r="H7" s="3" t="s">
        <v>34</v>
      </c>
      <c r="I7" s="5">
        <v>425</v>
      </c>
      <c r="J7" s="5" t="s">
        <v>21</v>
      </c>
      <c r="K7" s="5" t="s">
        <v>21</v>
      </c>
      <c r="L7" s="5" t="s">
        <v>21</v>
      </c>
      <c r="M7" s="5" t="s">
        <v>40</v>
      </c>
      <c r="N7" s="6">
        <v>50</v>
      </c>
      <c r="O7" s="5">
        <f t="shared" si="0"/>
        <v>425</v>
      </c>
      <c r="P7" s="5">
        <f>O7-(O7*$T$4)+N7</f>
        <v>411.25</v>
      </c>
      <c r="Q7" s="5">
        <f t="shared" si="2"/>
        <v>63706.737499999996</v>
      </c>
    </row>
    <row r="8" spans="1:20" ht="14.25" customHeight="1" x14ac:dyDescent="0.25">
      <c r="A8" s="2">
        <v>60004</v>
      </c>
      <c r="B8" s="3" t="s">
        <v>265</v>
      </c>
      <c r="C8" s="3" t="s">
        <v>266</v>
      </c>
      <c r="D8" s="4">
        <v>24</v>
      </c>
      <c r="E8" s="3" t="s">
        <v>17</v>
      </c>
      <c r="F8" s="3" t="s">
        <v>267</v>
      </c>
      <c r="G8" s="3" t="s">
        <v>268</v>
      </c>
      <c r="H8" s="3" t="s">
        <v>20</v>
      </c>
      <c r="I8" s="5" t="s">
        <v>21</v>
      </c>
      <c r="J8" s="5">
        <v>141.69999999999999</v>
      </c>
      <c r="K8" s="5">
        <v>141.69999999999999</v>
      </c>
      <c r="L8" s="5">
        <v>141.69999999999999</v>
      </c>
      <c r="M8" s="5" t="s">
        <v>22</v>
      </c>
      <c r="N8" s="6">
        <v>150</v>
      </c>
      <c r="O8" s="5">
        <f t="shared" si="0"/>
        <v>425.09999999999997</v>
      </c>
      <c r="P8" s="5">
        <f t="shared" ref="P8:P9" si="3">O8+(O8*$T$3)+N8</f>
        <v>617.6099999999999</v>
      </c>
      <c r="Q8" s="5">
        <f t="shared" si="2"/>
        <v>95673.965099999987</v>
      </c>
    </row>
    <row r="9" spans="1:20" ht="14.25" customHeight="1" x14ac:dyDescent="0.25">
      <c r="A9" s="2">
        <v>60005</v>
      </c>
      <c r="B9" s="3" t="s">
        <v>269</v>
      </c>
      <c r="C9" s="3" t="s">
        <v>270</v>
      </c>
      <c r="D9" s="4">
        <v>38</v>
      </c>
      <c r="E9" s="3" t="s">
        <v>17</v>
      </c>
      <c r="F9" s="3" t="s">
        <v>271</v>
      </c>
      <c r="G9" s="3" t="s">
        <v>272</v>
      </c>
      <c r="H9" s="3" t="s">
        <v>20</v>
      </c>
      <c r="I9" s="5" t="s">
        <v>21</v>
      </c>
      <c r="J9" s="5">
        <v>141.69999999999999</v>
      </c>
      <c r="K9" s="5">
        <v>141.69999999999999</v>
      </c>
      <c r="L9" s="5">
        <v>141.69999999999999</v>
      </c>
      <c r="M9" s="5" t="s">
        <v>22</v>
      </c>
      <c r="N9" s="6">
        <v>150</v>
      </c>
      <c r="O9" s="5">
        <f t="shared" si="0"/>
        <v>425.09999999999997</v>
      </c>
      <c r="P9" s="5">
        <f t="shared" si="3"/>
        <v>617.6099999999999</v>
      </c>
      <c r="Q9" s="5">
        <f t="shared" si="2"/>
        <v>95673.965099999987</v>
      </c>
    </row>
    <row r="10" spans="1:20" ht="14.25" customHeight="1" x14ac:dyDescent="0.25">
      <c r="A10" s="2">
        <v>40013</v>
      </c>
      <c r="B10" s="3" t="s">
        <v>273</v>
      </c>
      <c r="C10" s="3" t="s">
        <v>274</v>
      </c>
      <c r="D10" s="4">
        <v>30</v>
      </c>
      <c r="E10" s="3" t="s">
        <v>17</v>
      </c>
      <c r="F10" s="3" t="s">
        <v>275</v>
      </c>
      <c r="G10" s="3" t="s">
        <v>276</v>
      </c>
      <c r="H10" s="3" t="s">
        <v>34</v>
      </c>
      <c r="I10" s="5">
        <v>425</v>
      </c>
      <c r="J10" s="5" t="s">
        <v>21</v>
      </c>
      <c r="K10" s="5" t="s">
        <v>21</v>
      </c>
      <c r="L10" s="5" t="s">
        <v>21</v>
      </c>
      <c r="M10" s="5" t="s">
        <v>22</v>
      </c>
      <c r="N10" s="6">
        <v>150</v>
      </c>
      <c r="O10" s="5">
        <f t="shared" si="0"/>
        <v>425</v>
      </c>
      <c r="P10" s="5">
        <f>O10-(O10*$T$4)+N10</f>
        <v>511.25</v>
      </c>
      <c r="Q10" s="5">
        <f t="shared" si="2"/>
        <v>79197.737500000003</v>
      </c>
    </row>
    <row r="11" spans="1:20" ht="14.25" customHeight="1" x14ac:dyDescent="0.25">
      <c r="A11" s="2">
        <v>60006</v>
      </c>
      <c r="B11" s="3" t="s">
        <v>277</v>
      </c>
      <c r="C11" s="3" t="s">
        <v>278</v>
      </c>
      <c r="D11" s="4">
        <v>33</v>
      </c>
      <c r="E11" s="3" t="s">
        <v>26</v>
      </c>
      <c r="F11" s="3" t="s">
        <v>279</v>
      </c>
      <c r="G11" s="3" t="s">
        <v>280</v>
      </c>
      <c r="H11" s="3" t="s">
        <v>20</v>
      </c>
      <c r="I11" s="5" t="s">
        <v>21</v>
      </c>
      <c r="J11" s="5">
        <v>141.69999999999999</v>
      </c>
      <c r="K11" s="5">
        <v>141.69999999999999</v>
      </c>
      <c r="L11" s="5">
        <v>141.69999999999999</v>
      </c>
      <c r="M11" s="5" t="s">
        <v>40</v>
      </c>
      <c r="N11" s="6">
        <v>50</v>
      </c>
      <c r="O11" s="5">
        <f t="shared" si="0"/>
        <v>425.09999999999997</v>
      </c>
      <c r="P11" s="5">
        <f t="shared" ref="P11:P13" si="4">O11+(O11*$T$3)+N11</f>
        <v>517.6099999999999</v>
      </c>
      <c r="Q11" s="5">
        <f t="shared" si="2"/>
        <v>80182.965099999987</v>
      </c>
    </row>
    <row r="12" spans="1:20" ht="14.25" customHeight="1" x14ac:dyDescent="0.25">
      <c r="A12" s="2">
        <v>60008</v>
      </c>
      <c r="B12" s="3" t="s">
        <v>281</v>
      </c>
      <c r="C12" s="3" t="s">
        <v>282</v>
      </c>
      <c r="D12" s="4">
        <v>26</v>
      </c>
      <c r="E12" s="3" t="s">
        <v>17</v>
      </c>
      <c r="F12" s="3" t="s">
        <v>283</v>
      </c>
      <c r="G12" s="3" t="s">
        <v>284</v>
      </c>
      <c r="H12" s="3" t="s">
        <v>20</v>
      </c>
      <c r="I12" s="5" t="s">
        <v>21</v>
      </c>
      <c r="J12" s="5">
        <v>141.69999999999999</v>
      </c>
      <c r="K12" s="5" t="s">
        <v>21</v>
      </c>
      <c r="L12" s="5" t="s">
        <v>21</v>
      </c>
      <c r="M12" s="5" t="s">
        <v>22</v>
      </c>
      <c r="N12" s="6">
        <v>150</v>
      </c>
      <c r="O12" s="5">
        <f t="shared" si="0"/>
        <v>141.69999999999999</v>
      </c>
      <c r="P12" s="5">
        <f t="shared" si="4"/>
        <v>305.87</v>
      </c>
      <c r="Q12" s="5">
        <f t="shared" si="2"/>
        <v>47382.3217</v>
      </c>
    </row>
    <row r="13" spans="1:20" ht="14.25" customHeight="1" x14ac:dyDescent="0.25">
      <c r="A13" s="2">
        <v>60007</v>
      </c>
      <c r="B13" s="3" t="s">
        <v>143</v>
      </c>
      <c r="C13" s="3" t="s">
        <v>285</v>
      </c>
      <c r="D13" s="4">
        <v>37</v>
      </c>
      <c r="E13" s="3" t="s">
        <v>26</v>
      </c>
      <c r="F13" s="3" t="s">
        <v>286</v>
      </c>
      <c r="G13" s="3" t="s">
        <v>287</v>
      </c>
      <c r="H13" s="3" t="s">
        <v>20</v>
      </c>
      <c r="I13" s="5" t="s">
        <v>21</v>
      </c>
      <c r="J13" s="5">
        <v>141.69999999999999</v>
      </c>
      <c r="K13" s="5" t="s">
        <v>21</v>
      </c>
      <c r="L13" s="5" t="s">
        <v>21</v>
      </c>
      <c r="M13" s="5" t="s">
        <v>40</v>
      </c>
      <c r="N13" s="6">
        <v>50</v>
      </c>
      <c r="O13" s="5">
        <f t="shared" si="0"/>
        <v>141.69999999999999</v>
      </c>
      <c r="P13" s="5">
        <f t="shared" si="4"/>
        <v>205.86999999999998</v>
      </c>
      <c r="Q13" s="5">
        <f t="shared" si="2"/>
        <v>31891.321699999997</v>
      </c>
    </row>
    <row r="14" spans="1:20" ht="14.25" customHeight="1" x14ac:dyDescent="0.25">
      <c r="A14" s="2">
        <v>40014</v>
      </c>
      <c r="B14" s="3" t="s">
        <v>288</v>
      </c>
      <c r="C14" s="3" t="s">
        <v>289</v>
      </c>
      <c r="D14" s="4">
        <v>22</v>
      </c>
      <c r="E14" s="3" t="s">
        <v>17</v>
      </c>
      <c r="F14" s="3" t="s">
        <v>290</v>
      </c>
      <c r="G14" s="3" t="s">
        <v>291</v>
      </c>
      <c r="H14" s="3" t="s">
        <v>34</v>
      </c>
      <c r="I14" s="5">
        <v>425</v>
      </c>
      <c r="J14" s="5" t="s">
        <v>21</v>
      </c>
      <c r="K14" s="5" t="s">
        <v>21</v>
      </c>
      <c r="L14" s="5" t="s">
        <v>21</v>
      </c>
      <c r="M14" s="5" t="s">
        <v>22</v>
      </c>
      <c r="N14" s="6">
        <v>150</v>
      </c>
      <c r="O14" s="5">
        <f t="shared" si="0"/>
        <v>425</v>
      </c>
      <c r="P14" s="5">
        <f t="shared" ref="P14:P17" si="5">O14-(O14*$T$4)+N14</f>
        <v>511.25</v>
      </c>
      <c r="Q14" s="5">
        <f t="shared" si="2"/>
        <v>79197.737500000003</v>
      </c>
    </row>
    <row r="15" spans="1:20" ht="14.25" customHeight="1" x14ac:dyDescent="0.25">
      <c r="A15" s="2">
        <v>60001</v>
      </c>
      <c r="B15" s="3" t="s">
        <v>46</v>
      </c>
      <c r="C15" s="3" t="s">
        <v>292</v>
      </c>
      <c r="D15" s="4">
        <v>40</v>
      </c>
      <c r="E15" s="3" t="s">
        <v>26</v>
      </c>
      <c r="F15" s="3" t="s">
        <v>293</v>
      </c>
      <c r="G15" s="3" t="s">
        <v>294</v>
      </c>
      <c r="H15" s="3" t="s">
        <v>34</v>
      </c>
      <c r="I15" s="5">
        <v>425</v>
      </c>
      <c r="J15" s="5" t="s">
        <v>21</v>
      </c>
      <c r="K15" s="5" t="s">
        <v>21</v>
      </c>
      <c r="L15" s="5" t="s">
        <v>21</v>
      </c>
      <c r="M15" s="5" t="s">
        <v>22</v>
      </c>
      <c r="N15" s="6">
        <v>150</v>
      </c>
      <c r="O15" s="5">
        <f t="shared" si="0"/>
        <v>425</v>
      </c>
      <c r="P15" s="5">
        <f t="shared" si="5"/>
        <v>511.25</v>
      </c>
      <c r="Q15" s="5">
        <f t="shared" si="2"/>
        <v>79197.737500000003</v>
      </c>
    </row>
    <row r="16" spans="1:20" ht="14.25" customHeight="1" x14ac:dyDescent="0.25">
      <c r="A16" s="2">
        <v>60002</v>
      </c>
      <c r="B16" s="3" t="s">
        <v>295</v>
      </c>
      <c r="C16" s="3" t="s">
        <v>296</v>
      </c>
      <c r="D16" s="4">
        <v>28</v>
      </c>
      <c r="E16" s="3" t="s">
        <v>17</v>
      </c>
      <c r="F16" s="3" t="s">
        <v>297</v>
      </c>
      <c r="G16" s="3" t="s">
        <v>298</v>
      </c>
      <c r="H16" s="3" t="s">
        <v>34</v>
      </c>
      <c r="I16" s="5">
        <v>425</v>
      </c>
      <c r="J16" s="5" t="s">
        <v>21</v>
      </c>
      <c r="K16" s="5" t="s">
        <v>21</v>
      </c>
      <c r="L16" s="5" t="s">
        <v>21</v>
      </c>
      <c r="M16" s="5" t="s">
        <v>40</v>
      </c>
      <c r="N16" s="6">
        <v>50</v>
      </c>
      <c r="O16" s="5">
        <f t="shared" si="0"/>
        <v>425</v>
      </c>
      <c r="P16" s="5">
        <f t="shared" si="5"/>
        <v>411.25</v>
      </c>
      <c r="Q16" s="5">
        <f t="shared" si="2"/>
        <v>63706.737499999996</v>
      </c>
    </row>
    <row r="17" spans="1:20" ht="14.25" customHeight="1" x14ac:dyDescent="0.25">
      <c r="A17" s="2">
        <v>60003</v>
      </c>
      <c r="B17" s="3" t="s">
        <v>299</v>
      </c>
      <c r="C17" s="3" t="s">
        <v>300</v>
      </c>
      <c r="D17" s="4">
        <v>36</v>
      </c>
      <c r="E17" s="3" t="s">
        <v>17</v>
      </c>
      <c r="F17" s="3" t="s">
        <v>301</v>
      </c>
      <c r="G17" s="3" t="s">
        <v>302</v>
      </c>
      <c r="H17" s="3" t="s">
        <v>34</v>
      </c>
      <c r="I17" s="5">
        <v>425</v>
      </c>
      <c r="J17" s="5" t="s">
        <v>21</v>
      </c>
      <c r="K17" s="5" t="s">
        <v>21</v>
      </c>
      <c r="L17" s="5" t="s">
        <v>21</v>
      </c>
      <c r="M17" s="5" t="s">
        <v>40</v>
      </c>
      <c r="N17" s="6">
        <v>50</v>
      </c>
      <c r="O17" s="5">
        <f t="shared" si="0"/>
        <v>425</v>
      </c>
      <c r="P17" s="5">
        <f t="shared" si="5"/>
        <v>411.25</v>
      </c>
      <c r="Q17" s="5">
        <f t="shared" si="2"/>
        <v>63706.737499999996</v>
      </c>
    </row>
    <row r="18" spans="1:20" ht="14.25" customHeight="1" x14ac:dyDescent="0.25"/>
    <row r="19" spans="1:20" ht="14.25" customHeight="1" x14ac:dyDescent="0.25">
      <c r="A19" s="7" t="s">
        <v>86</v>
      </c>
      <c r="C19" s="3">
        <f>COUNT(A2:A17)</f>
        <v>15</v>
      </c>
      <c r="O19" s="1" t="s">
        <v>87</v>
      </c>
      <c r="P19" s="9">
        <f t="shared" ref="P19:Q19" si="6">SUM(P3:P17)</f>
        <v>6983.3199999999988</v>
      </c>
      <c r="Q19" s="9">
        <f t="shared" si="6"/>
        <v>1081786.1012000002</v>
      </c>
    </row>
    <row r="20" spans="1:20" ht="14.25" customHeight="1" x14ac:dyDescent="0.25">
      <c r="A20" s="7" t="s">
        <v>88</v>
      </c>
      <c r="C20" s="9">
        <f>SUM(O3:O17)</f>
        <v>5667.0999999999995</v>
      </c>
    </row>
    <row r="21" spans="1:20" ht="14.25" customHeight="1" x14ac:dyDescent="0.25">
      <c r="A21" s="7" t="s">
        <v>89</v>
      </c>
      <c r="C21" s="9">
        <f>SUMIF(N3:N17,"=150")</f>
        <v>1350</v>
      </c>
    </row>
    <row r="22" spans="1:20" ht="14.25" customHeight="1" x14ac:dyDescent="0.25">
      <c r="A22" s="7" t="s">
        <v>90</v>
      </c>
      <c r="C22" s="9">
        <f>SUM(P3:P17)</f>
        <v>6983.3199999999988</v>
      </c>
    </row>
    <row r="23" spans="1:20" ht="14.25" customHeight="1" x14ac:dyDescent="0.25"/>
    <row r="24" spans="1:20" ht="14.25" customHeight="1" x14ac:dyDescent="0.45">
      <c r="A24" s="11" t="s">
        <v>91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4.2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20" ht="14.25" customHeight="1" x14ac:dyDescent="0.25">
      <c r="A26" s="3" t="s">
        <v>98</v>
      </c>
      <c r="B26" s="5">
        <v>60</v>
      </c>
      <c r="C26" s="4" t="s">
        <v>21</v>
      </c>
      <c r="D26" s="10">
        <v>0.15</v>
      </c>
      <c r="E26" s="5">
        <f>'Fant-X'!E26*D26+'Fant-X'!E26</f>
        <v>104.940375</v>
      </c>
      <c r="F26" s="5">
        <f t="shared" ref="F26:F34" si="7">PRODUCT(E26,15)</f>
        <v>1574.1056250000001</v>
      </c>
    </row>
    <row r="27" spans="1:20" ht="14.25" customHeight="1" x14ac:dyDescent="0.25">
      <c r="A27" s="3" t="s">
        <v>99</v>
      </c>
      <c r="B27" s="5">
        <v>40</v>
      </c>
      <c r="C27" s="4" t="s">
        <v>21</v>
      </c>
      <c r="D27" s="10">
        <v>0.15</v>
      </c>
      <c r="E27" s="5">
        <f>'Fant-X'!E27*D27+'Fant-X'!E27</f>
        <v>69.960250000000002</v>
      </c>
      <c r="F27" s="5">
        <f t="shared" si="7"/>
        <v>1049.4037499999999</v>
      </c>
    </row>
    <row r="28" spans="1:20" ht="14.25" customHeight="1" x14ac:dyDescent="0.25">
      <c r="A28" s="3" t="s">
        <v>100</v>
      </c>
      <c r="B28" s="5">
        <v>150</v>
      </c>
      <c r="C28" s="4" t="s">
        <v>21</v>
      </c>
      <c r="D28" s="10">
        <v>0.12</v>
      </c>
      <c r="E28" s="5">
        <f>'Fant-X'!E28*D28+'Fant-X'!E28</f>
        <v>236.02790399999998</v>
      </c>
      <c r="F28" s="5">
        <f t="shared" si="7"/>
        <v>3540.4185599999996</v>
      </c>
    </row>
    <row r="29" spans="1:20" ht="14.25" customHeight="1" x14ac:dyDescent="0.25">
      <c r="A29" s="3" t="s">
        <v>101</v>
      </c>
      <c r="B29" s="5">
        <v>75</v>
      </c>
      <c r="C29" s="4" t="s">
        <v>21</v>
      </c>
      <c r="D29" s="10">
        <v>0.08</v>
      </c>
      <c r="E29" s="5">
        <f>'Fant-X'!E29*D29+'Fant-X'!E29</f>
        <v>102.03667200000001</v>
      </c>
      <c r="F29" s="5">
        <f t="shared" si="7"/>
        <v>1530.5500800000002</v>
      </c>
    </row>
    <row r="30" spans="1:20" ht="14.25" customHeight="1" x14ac:dyDescent="0.25">
      <c r="A30" s="3" t="s">
        <v>102</v>
      </c>
      <c r="B30" s="5" t="s">
        <v>21</v>
      </c>
      <c r="C30" s="5">
        <v>3000</v>
      </c>
      <c r="D30" s="4" t="s">
        <v>21</v>
      </c>
      <c r="E30" s="5">
        <f t="shared" ref="E30:E34" si="8">C30/5</f>
        <v>600</v>
      </c>
      <c r="F30" s="5">
        <f t="shared" si="7"/>
        <v>9000</v>
      </c>
    </row>
    <row r="31" spans="1:20" ht="14.25" customHeight="1" x14ac:dyDescent="0.25">
      <c r="A31" s="3" t="s">
        <v>103</v>
      </c>
      <c r="B31" s="5" t="s">
        <v>21</v>
      </c>
      <c r="C31" s="5">
        <v>2500</v>
      </c>
      <c r="D31" s="4" t="s">
        <v>21</v>
      </c>
      <c r="E31" s="5">
        <f t="shared" si="8"/>
        <v>500</v>
      </c>
      <c r="F31" s="5">
        <f t="shared" si="7"/>
        <v>7500</v>
      </c>
    </row>
    <row r="32" spans="1:20" ht="14.25" customHeight="1" x14ac:dyDescent="0.25">
      <c r="A32" s="3" t="s">
        <v>104</v>
      </c>
      <c r="B32" s="5" t="s">
        <v>21</v>
      </c>
      <c r="C32" s="5">
        <v>4000</v>
      </c>
      <c r="D32" s="4" t="s">
        <v>21</v>
      </c>
      <c r="E32" s="5">
        <f t="shared" si="8"/>
        <v>800</v>
      </c>
      <c r="F32" s="5">
        <f t="shared" si="7"/>
        <v>12000</v>
      </c>
    </row>
    <row r="33" spans="1:6" ht="14.25" customHeight="1" x14ac:dyDescent="0.25">
      <c r="A33" s="3" t="s">
        <v>105</v>
      </c>
      <c r="B33" s="5" t="s">
        <v>21</v>
      </c>
      <c r="C33" s="5">
        <v>1800</v>
      </c>
      <c r="D33" s="4" t="s">
        <v>21</v>
      </c>
      <c r="E33" s="5">
        <f t="shared" si="8"/>
        <v>360</v>
      </c>
      <c r="F33" s="5">
        <f t="shared" si="7"/>
        <v>5400</v>
      </c>
    </row>
    <row r="34" spans="1:6" ht="14.25" customHeight="1" x14ac:dyDescent="0.25">
      <c r="A34" s="3" t="s">
        <v>106</v>
      </c>
      <c r="B34" s="5" t="s">
        <v>21</v>
      </c>
      <c r="C34" s="5">
        <v>5000</v>
      </c>
      <c r="D34" s="4" t="s">
        <v>21</v>
      </c>
      <c r="E34" s="5">
        <f t="shared" si="8"/>
        <v>1000</v>
      </c>
      <c r="F34" s="5">
        <f t="shared" si="7"/>
        <v>15000</v>
      </c>
    </row>
    <row r="35" spans="1:6" ht="14.25" customHeight="1" x14ac:dyDescent="0.25"/>
    <row r="36" spans="1:6" ht="14.25" customHeight="1" x14ac:dyDescent="0.25">
      <c r="E36" s="1" t="s">
        <v>107</v>
      </c>
      <c r="F36" s="5">
        <f>SUM(F26:F34)</f>
        <v>56594.478015000001</v>
      </c>
    </row>
    <row r="37" spans="1:6" ht="14.25" customHeight="1" x14ac:dyDescent="0.25"/>
    <row r="38" spans="1:6" ht="14.25" customHeight="1" x14ac:dyDescent="0.25"/>
    <row r="39" spans="1:6" ht="14.25" customHeight="1" x14ac:dyDescent="0.25"/>
    <row r="40" spans="1:6" ht="14.25" customHeight="1" x14ac:dyDescent="0.25"/>
    <row r="41" spans="1:6" ht="14.25" customHeight="1" x14ac:dyDescent="0.25"/>
    <row r="42" spans="1:6" ht="14.25" customHeight="1" x14ac:dyDescent="0.25"/>
    <row r="43" spans="1:6" ht="14.25" customHeight="1" x14ac:dyDescent="0.25"/>
    <row r="44" spans="1:6" ht="14.25" customHeight="1" x14ac:dyDescent="0.25"/>
    <row r="45" spans="1:6" ht="14.25" customHeight="1" x14ac:dyDescent="0.25"/>
    <row r="46" spans="1:6" ht="14.25" customHeight="1" x14ac:dyDescent="0.25"/>
    <row r="47" spans="1:6" ht="14.25" customHeight="1" x14ac:dyDescent="0.25"/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1:Q1"/>
    <mergeCell ref="J2:L2"/>
    <mergeCell ref="M2:N2"/>
    <mergeCell ref="A24:T2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BacchahX</vt:lpstr>
      <vt:lpstr>Xod-Us</vt:lpstr>
      <vt:lpstr>JamCam X</vt:lpstr>
      <vt:lpstr>Fant-X</vt:lpstr>
      <vt:lpstr>DreamX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Elessia Harrison</cp:lastModifiedBy>
  <dcterms:created xsi:type="dcterms:W3CDTF">2024-04-11T18:12:30Z</dcterms:created>
  <dcterms:modified xsi:type="dcterms:W3CDTF">2026-04-10T18:47:43Z</dcterms:modified>
</cp:coreProperties>
</file>